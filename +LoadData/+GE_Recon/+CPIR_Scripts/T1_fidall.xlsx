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EW22-02217\WoodsLab\Woods_Lab_Documents\Coding\GE_General\GE_Acquisition_And_Recon\CPIR_Scripts\"/>
    </mc:Choice>
  </mc:AlternateContent>
  <xr:revisionPtr revIDLastSave="0" documentId="13_ncr:1_{A379574F-3855-45BF-AA5F-5E70EC5DE4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andard Sequences" sheetId="1" r:id="rId1"/>
    <sheet name="MNSRP Sequences" sheetId="2" r:id="rId2"/>
    <sheet name="ak_grad links" sheetId="3" r:id="rId3"/>
    <sheet name="rf links" sheetId="5" r:id="rId4"/>
    <sheet name="recon links" sheetId="4" r:id="rId5"/>
    <sheet name="vap links" sheetId="10" r:id="rId6"/>
    <sheet name="cv_pars links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G3" i="2" s="1"/>
  <c r="O2" i="2"/>
  <c r="M2" i="2"/>
  <c r="F2" i="2"/>
  <c r="H10" i="1"/>
  <c r="G10" i="1"/>
  <c r="E2" i="5"/>
  <c r="J2" i="2" s="1"/>
  <c r="M3" i="2"/>
  <c r="M4" i="2"/>
  <c r="M6" i="2"/>
  <c r="M5" i="2"/>
  <c r="J18" i="2"/>
  <c r="J3" i="2"/>
  <c r="O3" i="2"/>
  <c r="O4" i="2"/>
  <c r="O7" i="2"/>
  <c r="O6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5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G7" i="2"/>
  <c r="G6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F3" i="2"/>
  <c r="F4" i="2"/>
  <c r="F7" i="2"/>
  <c r="F6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5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E3" i="5"/>
  <c r="J16" i="2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J8" i="2" s="1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J10" i="2" s="1"/>
  <c r="E33" i="5"/>
  <c r="J11" i="2" s="1"/>
  <c r="E34" i="5"/>
  <c r="E35" i="5"/>
  <c r="E36" i="5"/>
  <c r="E37" i="5"/>
  <c r="E38" i="5"/>
  <c r="E39" i="5"/>
  <c r="E40" i="5"/>
  <c r="E41" i="5"/>
  <c r="E42" i="5"/>
  <c r="J17" i="2" s="1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J22" i="2" s="1"/>
  <c r="E56" i="5"/>
  <c r="E57" i="5"/>
  <c r="J23" i="2" s="1"/>
  <c r="E58" i="5"/>
  <c r="J24" i="2" s="1"/>
  <c r="E59" i="5"/>
  <c r="J25" i="2" s="1"/>
  <c r="E60" i="5"/>
  <c r="J26" i="2" s="1"/>
  <c r="E61" i="5"/>
  <c r="E62" i="5"/>
  <c r="E63" i="5"/>
  <c r="E64" i="5"/>
  <c r="E65" i="5"/>
  <c r="E66" i="5"/>
  <c r="E67" i="5"/>
  <c r="E68" i="5"/>
  <c r="J27" i="2" s="1"/>
  <c r="E69" i="5"/>
  <c r="J28" i="2" s="1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K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M7" i="2" s="1"/>
  <c r="K17" i="10"/>
  <c r="K18" i="10"/>
  <c r="M8" i="2" s="1"/>
  <c r="K19" i="10"/>
  <c r="K20" i="10"/>
  <c r="K21" i="10"/>
  <c r="K22" i="10"/>
  <c r="K23" i="10"/>
  <c r="K24" i="10"/>
  <c r="K25" i="10"/>
  <c r="K26" i="10"/>
  <c r="K27" i="10"/>
  <c r="K28" i="10"/>
  <c r="M9" i="2" s="1"/>
  <c r="K29" i="10"/>
  <c r="K30" i="10"/>
  <c r="K31" i="10"/>
  <c r="M10" i="2" s="1"/>
  <c r="K32" i="10"/>
  <c r="M11" i="2" s="1"/>
  <c r="K33" i="10"/>
  <c r="K34" i="10"/>
  <c r="K35" i="10"/>
  <c r="K36" i="10"/>
  <c r="M12" i="2" s="1"/>
  <c r="K37" i="10"/>
  <c r="M13" i="2" s="1"/>
  <c r="K38" i="10"/>
  <c r="M14" i="2" s="1"/>
  <c r="K39" i="10"/>
  <c r="M15" i="2" s="1"/>
  <c r="K40" i="10"/>
  <c r="M16" i="2" s="1"/>
  <c r="K41" i="10"/>
  <c r="M17" i="2" s="1"/>
  <c r="K42" i="10"/>
  <c r="M18" i="2" s="1"/>
  <c r="K43" i="10"/>
  <c r="M19" i="2" s="1"/>
  <c r="K44" i="10"/>
  <c r="M20" i="2" s="1"/>
  <c r="K45" i="10"/>
  <c r="K46" i="10"/>
  <c r="K47" i="10"/>
  <c r="K48" i="10"/>
  <c r="K49" i="10"/>
  <c r="K50" i="10"/>
  <c r="K51" i="10"/>
  <c r="K52" i="10"/>
  <c r="K53" i="10"/>
  <c r="M21" i="2" s="1"/>
  <c r="K54" i="10"/>
  <c r="M22" i="2" s="1"/>
  <c r="K55" i="10"/>
  <c r="K56" i="10"/>
  <c r="M23" i="2" s="1"/>
  <c r="K57" i="10"/>
  <c r="M24" i="2" s="1"/>
  <c r="K58" i="10"/>
  <c r="M25" i="2" s="1"/>
  <c r="K59" i="10"/>
  <c r="M26" i="2" s="1"/>
  <c r="K60" i="10"/>
  <c r="K61" i="10"/>
  <c r="K62" i="10"/>
  <c r="K63" i="10"/>
  <c r="K64" i="10"/>
  <c r="K65" i="10"/>
  <c r="K66" i="10"/>
  <c r="K67" i="10"/>
  <c r="M27" i="2" s="1"/>
  <c r="K68" i="10"/>
  <c r="M28" i="2" s="1"/>
  <c r="K69" i="10"/>
  <c r="M29" i="2" s="1"/>
  <c r="K70" i="10"/>
  <c r="K71" i="10"/>
  <c r="M30" i="2" s="1"/>
  <c r="K72" i="10"/>
  <c r="M31" i="2" s="1"/>
  <c r="K73" i="10"/>
  <c r="M32" i="2" s="1"/>
  <c r="K74" i="10"/>
  <c r="M33" i="2" s="1"/>
  <c r="K75" i="10"/>
  <c r="M34" i="2" s="1"/>
  <c r="K76" i="10"/>
  <c r="M35" i="2" s="1"/>
  <c r="K77" i="10"/>
  <c r="M36" i="2" s="1"/>
  <c r="K78" i="10"/>
  <c r="M37" i="2" s="1"/>
  <c r="K79" i="10"/>
  <c r="M38" i="2" s="1"/>
  <c r="K80" i="10"/>
  <c r="M39" i="2" s="1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H19" i="1"/>
  <c r="G19" i="1"/>
  <c r="H31" i="1"/>
  <c r="G31" i="1"/>
  <c r="H20" i="1"/>
  <c r="G20" i="1"/>
  <c r="H16" i="1"/>
  <c r="G16" i="1"/>
  <c r="H17" i="1"/>
  <c r="G17" i="1"/>
  <c r="H23" i="1"/>
  <c r="G23" i="1"/>
  <c r="H15" i="1"/>
  <c r="G15" i="1"/>
  <c r="H14" i="1"/>
  <c r="G14" i="1"/>
  <c r="I26" i="1"/>
  <c r="H26" i="1"/>
  <c r="G26" i="1"/>
  <c r="I25" i="1"/>
  <c r="H25" i="1"/>
  <c r="G25" i="1"/>
  <c r="H18" i="1"/>
  <c r="G18" i="1"/>
  <c r="H24" i="1"/>
  <c r="G24" i="1"/>
  <c r="H22" i="1"/>
  <c r="G22" i="1"/>
  <c r="H27" i="1"/>
  <c r="G27" i="1"/>
  <c r="G5" i="2" l="1"/>
  <c r="G4" i="2"/>
  <c r="G2" i="2"/>
  <c r="J29" i="2"/>
  <c r="J5" i="2"/>
  <c r="J21" i="2"/>
  <c r="J12" i="2"/>
  <c r="J4" i="2"/>
  <c r="J19" i="2"/>
  <c r="J20" i="2"/>
  <c r="J34" i="2"/>
  <c r="J9" i="2"/>
  <c r="J35" i="2"/>
  <c r="J32" i="2"/>
  <c r="J6" i="2"/>
  <c r="J15" i="2"/>
  <c r="J36" i="2"/>
  <c r="J37" i="2"/>
  <c r="J30" i="2"/>
  <c r="J38" i="2"/>
  <c r="J31" i="2"/>
  <c r="J39" i="2"/>
  <c r="J13" i="2"/>
  <c r="J7" i="2"/>
  <c r="J14" i="2"/>
  <c r="J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tc={B17A7FFF-7C68-411C-BFD5-237F69EC18B1}</author>
    <author>tc={4742B95D-1C11-4F4D-AB31-4E908C5B6789}</author>
    <author>tc={EF0C78AE-90F2-49A5-9C03-0344C030174F}</author>
    <author>tc={7E18C0B0-1AE6-4583-A6C7-41522124B8B4}</author>
  </authors>
  <commentList>
    <comment ref="A14" authorId="0" shapeId="0" xr:uid="{B17A7FFF-7C68-411C-BFD5-237F69EC18B1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figure out online flow analysis</t>
      </text>
    </comment>
    <comment ref="A16" authorId="1" shapeId="0" xr:uid="{4742B95D-1C11-4F4D-AB31-4E908C5B67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Recons as all zeros online; can look at png in files</t>
      </text>
    </comment>
    <comment ref="A17" authorId="2" shapeId="0" xr:uid="{EF0C78AE-90F2-49A5-9C03-0344C030174F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Recons as all zeros online; can look at png in files</t>
      </text>
    </comment>
    <comment ref="A22" authorId="3" shapeId="0" xr:uid="{7E18C0B0-1AE6-4583-A6C7-41522124B8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Recons as all zeros online; can look at png in files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tc={38159633-DD9D-4E60-B368-66AF7AE20222}</author>
    <author>tc={9400B9B8-2257-45C2-B958-763CFE78B59F}</author>
    <author>tc={B045039B-94F3-4A30-8161-D67BD63491C4}</author>
    <author>tc={30749053-B0AC-4BAC-8347-0E0102740A1B}</author>
    <author>tc={4E2DAC28-6FD5-45FC-8A9B-207F365035D6}</author>
    <author>tc={73B24376-F327-46BF-806E-BE3737359CAF}</author>
    <author>tc={D9E22BBA-342D-40FA-9E23-1A210DEDE43E}</author>
    <author>tc={DBA03D74-0AFD-4EE1-B27C-296A0664C157}</author>
  </authors>
  <commentList>
    <comment ref="B8" authorId="0" shapeId="0" xr:uid="{38159633-DD9D-4E60-B368-66AF7AE20222}">
      <text>
        <t>[Threaded comment]
Your version of Excel allows you to read this threaded comment; however, any edits to it will get removed if the file is opened in a newer version of Excel. Learn more: https://go.microsoft.com/fwlink/?linkid=870924
Comment:
    is 30 in UI for saturation/dummy pulses</t>
      </text>
    </comment>
    <comment ref="E10" authorId="1" shapeId="0" xr:uid="{9400B9B8-2257-45C2-B958-763CFE78B59F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rhrecon</t>
      </text>
    </comment>
    <comment ref="E11" authorId="2" shapeId="0" xr:uid="{B045039B-94F3-4A30-8161-D67BD63491C4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rhrecon</t>
      </text>
    </comment>
    <comment ref="E21" authorId="3" shapeId="0" xr:uid="{30749053-B0AC-4BAC-8347-0E0102740A1B}">
      <text>
        <t>[Threaded comment]
Your version of Excel allows you to read this threaded comment; however, any edits to it will get removed if the file is opened in a newer version of Excel. Learn more: https://go.microsoft.com/fwlink/?linkid=870924
Comment:
    via rhrecon</t>
      </text>
    </comment>
    <comment ref="B23" authorId="4" shapeId="0" xr:uid="{4E2DAC28-6FD5-45FC-8A9B-207F365035D6}">
      <text>
        <t>[Threaded comment]
Your version of Excel allows you to read this threaded comment; however, any edits to it will get removed if the file is opened in a newer version of Excel. Learn more: https://go.microsoft.com/fwlink/?linkid=870924
Comment:
    is 49 in UI for saturation/dummy pulses</t>
      </text>
    </comment>
    <comment ref="B24" authorId="5" shapeId="0" xr:uid="{73B24376-F327-46BF-806E-BE373735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is 49 in UI for saturation/dummy pulses</t>
      </text>
    </comment>
    <comment ref="B25" authorId="6" shapeId="0" xr:uid="{D9E22BBA-342D-40FA-9E23-1A210DEDE43E}">
      <text>
        <t>[Threaded comment]
Your version of Excel allows you to read this threaded comment; however, any edits to it will get removed if the file is opened in a newer version of Excel. Learn more: https://go.microsoft.com/fwlink/?linkid=870924
Comment:
    is 49 in UI for saturation/dummy pulses</t>
      </text>
    </comment>
    <comment ref="B26" authorId="7" shapeId="0" xr:uid="{DBA03D74-0AFD-4EE1-B27C-296A0664C157}">
      <text>
        <t>[Threaded comment]
Your version of Excel allows you to read this threaded comment; however, any edits to it will get removed if the file is opened in a newer version of Excel. Learn more: https://go.microsoft.com/fwlink/?linkid=870924
Comment:
    is 49 in UI for saturation/dummy pulses</t>
      </text>
    </comment>
  </commentList>
</comments>
</file>

<file path=xl/sharedStrings.xml><?xml version="1.0" encoding="utf-8"?>
<sst xmlns="http://schemas.openxmlformats.org/spreadsheetml/2006/main" count="468" uniqueCount="314">
  <si>
    <t>ak_grad</t>
  </si>
  <si>
    <t>vap_tr</t>
  </si>
  <si>
    <t>vap_phase</t>
  </si>
  <si>
    <t>vap_flip</t>
  </si>
  <si>
    <t>vap_phi</t>
  </si>
  <si>
    <t>vap_theta</t>
  </si>
  <si>
    <t>vap_freq</t>
  </si>
  <si>
    <t>vap_agx</t>
  </si>
  <si>
    <t>vap_agy</t>
  </si>
  <si>
    <t>vap_agz</t>
  </si>
  <si>
    <t>/export/home/sdc/fidall/bin/recon_prescan.py</t>
  </si>
  <si>
    <t>cv_pars_13C_Pyr_spsp.cvs</t>
  </si>
  <si>
    <t>spiral/spiral_13C_fov80_mtx28_arms1_kdt24_gmax33_smax119_dur24p6.wav</t>
  </si>
  <si>
    <t>/export/home/sdc/fidall/bin/recon_spiral.py</t>
  </si>
  <si>
    <t>spiral/spiral_13C_fov120_mtx34_arms1_kdt16_gmax33_smax119_dur25p3.wav</t>
  </si>
  <si>
    <t>cv_pars_dda4.cvs</t>
  </si>
  <si>
    <t>spiral/spiral_13C_fov200_mtx42_arms1_kdt8_gmax33_smax119_dur25p7.wav</t>
  </si>
  <si>
    <t>/export/home/sdc/fidall/waveforms/rffiles/mnsrp_freqsel_n750_t30_bw80_ftw0p9.rho</t>
  </si>
  <si>
    <t>spiral/spiral_13C_fov300_mtx48_arms1_kdt8_gmax30_smax119_dur25p5.wav</t>
  </si>
  <si>
    <t>spiral/spiral_13C_fov400_mtx52_arms1_kdt8_gmax27_smax119_dur24p9.wav</t>
  </si>
  <si>
    <t>spiral/spiral_1H_fov200_mtx50_arms1_kdt2_gmax19_smax119_dur16p6.wav</t>
  </si>
  <si>
    <t>/export/home/sdc/fidall/bin/recon_grid.py</t>
  </si>
  <si>
    <t>spiral/spiral_1H_fov200_mtx200_arms50_kdt2_gmax29_smax119_dur3p3.wav</t>
  </si>
  <si>
    <t>../waveforms/spiral/spiral_1H_fov200_mtx200_arms50_kdt2_gmax29_smax119_dur3p3_phi.fdl</t>
  </si>
  <si>
    <t>spiral/spiral_1H_fov400_mtx100_arms4_kdt2_gmax15_smax119_dur9.wav</t>
  </si>
  <si>
    <t>../waveforms/mrp/cv_pars_radial2d.txt</t>
  </si>
  <si>
    <t>/export/home/sdc/fidall/waveforms/rffiles/exrf_spat_flip90_t2_ref0p5_b1max20p845_bw3500_sb2100.rho</t>
  </si>
  <si>
    <t>mrp/radial2D_1H_fov200_mtx300_intlv1000_kdt4_gmax25_smax100_dur4p5_fsca_rew1_GA7.wav</t>
  </si>
  <si>
    <t>../waveforms/mrp/radial2D_1H_fov200_mtx300_intlv1000_kdt4_gmax25_smax100_dur4p5_fsca_rew1_GA7_phi.fdl</t>
  </si>
  <si>
    <t>../waveforms/mrp/cv_pars_radial4d_qti1000.txt</t>
  </si>
  <si>
    <t>/export/home/sdc/fidall/waveforms/rffiles/exrf_spat_flip90_t3_ref0p4_b1max10p873_bw1800_sb1080.rho</t>
  </si>
  <si>
    <t>mrp/radial4D_1H_fov200_53_mtx300_20_intlv40000_kdt4_gmax25_smax100_dur4p5_fsca_rew1_GA7_zPE3.wav</t>
  </si>
  <si>
    <t>../waveforms/mrp/radial4D_1H_fov200_53_mtx300_20_intlv40000_kdt4_gmax25_smax100_dur4p5_fsca_rew1_GA7_zPE3_flip.fdl</t>
  </si>
  <si>
    <t>../waveforms/mrp/radial4D_1H_fov200_53_mtx300_20_intlv40000_kdt4_gmax25_smax100_dur4p5_fsca_rew1_GA7_zPE3_phi.fdl</t>
  </si>
  <si>
    <t>../waveforms/mrp/radial4D_1H_fov200_53_mtx300_20_intlv40000_kdt4_gmax25_smax100_dur4p5_fsca_rew1_GA7_zPE3_agz.fdl</t>
  </si>
  <si>
    <t>/export/home/sdc/fidall/waveforms/rffiles/hardpulse_flip20_pw112.rho</t>
  </si>
  <si>
    <t>/export/home/sdc/fidall/waveforms/rffiles/hardpulse_flip30_pw160.rho</t>
  </si>
  <si>
    <t>/export/home/sdc/fidall/bin/recon_mrsi.py</t>
  </si>
  <si>
    <t>../waveforms/cart/cv_pars_spgr.cvs</t>
  </si>
  <si>
    <t>cart/cart2D_129Xe_fov300x240_mtx100x80_nexc80_kdt20_gmax32_smax99_dur4p92.wav</t>
  </si>
  <si>
    <t>../waveforms/cart/vap_vfa80_30.fdl</t>
  </si>
  <si>
    <t>/export/home/sdc/fidall/bin/recon_cart.py</t>
  </si>
  <si>
    <t>../waveforms/cart/cv_pars_ssfp.cvs</t>
  </si>
  <si>
    <t>/export/home/sdc/fidall/waveforms/rffiles/exrf_freq_flip40_t1p2_ref0p5_b1max6p3494_bw500.rho</t>
  </si>
  <si>
    <t>cart/cart3D_129Xe_fov300x240x144_mtx100x80x24_nexc1928_kdt20_gmax33_smax92_dur5p76_bal_co.wav</t>
  </si>
  <si>
    <t>../waveforms/cart/vap_flip_ramp_ssfp_1928.fdl</t>
  </si>
  <si>
    <t>../waveforms/mrsi/cv_pars_mrsi_xenon.cvs</t>
  </si>
  <si>
    <t>/export/home/sdc/fidall/waveforms/rffiles/exrf_freq_flip40_t0p6_ref0p5_b1max11p855_bw1000.rho</t>
  </si>
  <si>
    <t>mrsi/mrsi3D_129Xe_scheme2_3_fov270_240_150_mtx18_16_10_bw20000_npts88_nexc1586_gmax16_smax87_crush2.wav</t>
  </si>
  <si>
    <t>../waveforms/mrsi/vap_flip_10deg.fdl</t>
  </si>
  <si>
    <t>../waveforms/mrsi/mrsi3D_129Xe_scheme2_3_fov270_240_150_mtx18_16_10_bw20000_npts88_nexc1586_gmax16_smax87_crush2_agx.fdl</t>
  </si>
  <si>
    <t>../waveforms/mrsi/mrsi3D_129Xe_scheme2_3_fov270_240_150_mtx18_16_10_bw20000_npts88_nexc1586_gmax16_smax87_crush2_agy.fdl</t>
  </si>
  <si>
    <t>../waveforms/mrsi/mrsi3D_129Xe_scheme2_3_fov270_240_150_mtx18_16_10_bw20000_npts88_nexc1586_gmax16_smax87_crush2_agz.fdl</t>
  </si>
  <si>
    <t>/export/home/sdc/fidall/bin/recon_mrsi_xenon.py</t>
  </si>
  <si>
    <t>../waveforms/radial/cv_pars_3Dradial_1H.cvs</t>
  </si>
  <si>
    <t>radial/radial3D_1H_fov170_mtx200_intlv61712_kdt4_gmax32_smax120_dur1p3_coca_rew2_1.wav</t>
  </si>
  <si>
    <t>../waveforms/radial/vap_phase_rand15684.fdl</t>
  </si>
  <si>
    <t>../waveforms/radial/radial3D_1H_fov170_mtx200_intlv61712_kdt4_gmax32_smax120_dur1p3_coca_rew2_1_phi.fdl</t>
  </si>
  <si>
    <t>../waveforms/radial/radial3D_1H_fov170_mtx200_intlv61712_kdt4_gmax32_smax120_dur1p3_coca_rew2_1_theta.fdl</t>
  </si>
  <si>
    <t>../waveforms/radial/cv_pars_3Dradial_23Na.cvs</t>
  </si>
  <si>
    <t>radial/radial3D_23Na_fov159_mtx80_intlv20230_kdt24_gmax33_smax120_dur16p1_coda_rew2_1.wav</t>
  </si>
  <si>
    <t>../waveforms/radial/radial3D_23Na_fov159_mtx80_intlv20230_kdt24_gmax33_smax120_dur16p1_coda_rew2_1_phi.fdl</t>
  </si>
  <si>
    <t>../waveforms/radial/radial3D_23Na_fov159_mtx80_intlv20230_kdt24_gmax33_smax120_dur16p1_coda_rew2_1_theta.fdl</t>
  </si>
  <si>
    <t>spsp_profile/gz_fov200_mtx512_13c_gmax23_smax75.wav</t>
  </si>
  <si>
    <t>/export/home/sdc/fidall/bin/recon_spsp_profile.py</t>
  </si>
  <si>
    <t>spsp_profile/gz_fov200_mtx512_1h_gmax23_smax75.wav</t>
  </si>
  <si>
    <t>epsi/flyback_13C_x_fov82_gmax50_smax200.wav</t>
  </si>
  <si>
    <t>/export/home/sdc/fidall/bin/recon_fidall_epsi.py</t>
  </si>
  <si>
    <t>epsi/flyback_13C_y_fov82_gmax50_smax200.wav</t>
  </si>
  <si>
    <t>epsi/flyback_13C_z_fov82_gmax50_smax200.wav</t>
  </si>
  <si>
    <t>../waveforms/mrp/cv_pars_mrp_2D_globalinv.cvs</t>
  </si>
  <si>
    <t>mrp/spiral225_225_MRP_16Gmax_80Slew_1H_377int.wav</t>
  </si>
  <si>
    <t>../waveforms/mrp/fisp_mrf_tr.fdl</t>
  </si>
  <si>
    <t>../waveforms/mrp/fisp_mrf_flip.fdl</t>
  </si>
  <si>
    <t>../waveforms/mrp/cv_pars_mrp_2D_localinv.cvs</t>
  </si>
  <si>
    <t>mrp/spiral225_225_MRP_33Gmax_120Slew_1H_89int.wav</t>
  </si>
  <si>
    <t>../waveforms/mrp/qti_Nreps_260_FA_7_70_flip.fdl</t>
  </si>
  <si>
    <t>../waveforms/grad_noise/cv_pars_noise.cvs</t>
  </si>
  <si>
    <t>grad_noise/grad_noise_spiral_13C_fov300_ksamp2_gmax30_smax119_dur27p1.wav</t>
  </si>
  <si>
    <t>../waveforms/grad_noise/vap_flip_zero.fdl</t>
  </si>
  <si>
    <t>/export/home/sdc/fidall/bin/characterise_grad_noise.py</t>
  </si>
  <si>
    <t>mrsi/mrsi3D_2H_scheme4_fov140_mtx10_bw5000_npts700_nexc1678_gmax31_smax116.wav</t>
  </si>
  <si>
    <t>../waveforms/mrp/cv_3D.cvs</t>
  </si>
  <si>
    <t>mrp/3Dspiral_fov_256_npix_200_gmax_18_smax_60_nphi_880.wav</t>
  </si>
  <si>
    <t>../waveforms/mrp/ramp_flip70.fdl</t>
  </si>
  <si>
    <t>../waveforms/mrp/3Dspiral_fov_256_npix_200_gmax_18_smax_60_nphi_880_phi.fdl</t>
  </si>
  <si>
    <t>../waveforms/mrp/3Dspiral_fov_256_npix_200_gmax_18_smax_60_nphi_880_theta.fdl</t>
  </si>
  <si>
    <t>../waveforms/cal/cal_xxx.cvs</t>
  </si>
  <si>
    <t>../waveforms/vap_rf_spoiling/vap_phase_rf_spoiling_262112.fdl</t>
  </si>
  <si>
    <t>../waveforms/cal/cal_cpir_nexc520_ndiss500_dfreq202_freq.fdl</t>
  </si>
  <si>
    <t>../waveforms/cal/cal_xectc_nexc520_ndiss500_dfreq218_freq.fdl</t>
  </si>
  <si>
    <t>../waveforms/diff_cpir_2dCart4bs/diff_cpir_2dCart4bs.cvs</t>
  </si>
  <si>
    <t>diff_cpir_2dCart4bs/diffcart2D_129Xe_fov400_mtx80_nexc320_kdt52_gmax29_smax98_dur14p9_co.wav</t>
  </si>
  <si>
    <t>diff_cpir_2dCart4bs/diffcart2D_129Xe_fov350_mtx70_nexc280_kdt52_gmax29_smax98_dur14p3_co.wav</t>
  </si>
  <si>
    <t>diff_cpir_2dCart4bs/diffcart2D_129Xe_fov300_mtx60_nexc240_kdt52_gmax29_smax98_dur13p8_co.wav</t>
  </si>
  <si>
    <t>diff_cpir_2dCart4bs/diffcart2D_129Xe_fov250_mtx50_nexc200_kdt52_gmax29_smax98_dur13p4_co.wav</t>
  </si>
  <si>
    <t>diff_cpir_2dCart4bs/diffcart2D_129Xe_fov200_mtx40_nexc160_kdt52_gmax29_smax98_dur12p9_co.wav</t>
  </si>
  <si>
    <t>../waveforms/gx_cpir_1ptDixon/gx_cpir_1ptDixon.cvs</t>
  </si>
  <si>
    <t>gx_cpir_1ptDixon/interleaved_radial3D_129xe_fov325_mtx56_intlv2002_kdt18_gmax37_smax144_dur1p6_coca_rew2_1p25_GA5.wav</t>
  </si>
  <si>
    <t>../waveforms/gx_cpir_1ptDixon/vap_phase_rf_spoiling_262112.fdl</t>
  </si>
  <si>
    <t>../waveforms/gx_cpir_1ptDixon/interleaved_radial3D_129xe_fov325_mtx56_intlv2002_kdt18_gmax37_smax144_dur1p6_coca_rew2_1p25_GA5_flip.fdl</t>
  </si>
  <si>
    <t>../waveforms/gx_cpir_1ptDixon/interleaved_radial3D_129xe_fov325_mtx56_intlv2002_kdt18_gmax37_smax144_dur1p6_coca_rew2_1p25_GA5_freq.fdl</t>
  </si>
  <si>
    <t>gx_cpir_1ptDixon/radial3D_1h_fov325_mtx56_intlv5000_kdt18_gmax19_smax141_dur1p4_coca_rew2_1p25_GA5.wav</t>
  </si>
  <si>
    <t>../waveforms/gx_cpir_1ptDixon/radial3D_1h_fov325_mtx56_intlv5000_kdt18_gmax19_smax141_dur1p4_coca_rew2_1p25_GA5_phi.fdl</t>
  </si>
  <si>
    <t>../waveforms/gx_cpir_1ptDixon/radial3D_1h_fov325_mtx56_intlv5000_kdt18_gmax19_smax141_dur1p4_coca_rew2_1p25_GA5_theta.fdl</t>
  </si>
  <si>
    <t>rffiles/129Xe_freq_5000hz_600us_3tbw.rho</t>
  </si>
  <si>
    <t>../waveforms/gx_cpir_MRSI/gx_cpir_mrsi.cvs</t>
  </si>
  <si>
    <t>../waveforms/gx_cpir_MRSI/vap_phase_rf_spoiling_262112.fdl</t>
  </si>
  <si>
    <t>../waveforms/gx_XeCTC_1ptDixon/gx_xectc_1ptDixon.cvs</t>
  </si>
  <si>
    <t>gx_XeCTC_1ptDixon/interleaved_radial3D_129xe_fov400_mtx64_intlv2002_kdt10_gmax31_smax106_dur1p2_coca_rew2_1p25_HAL.wav</t>
  </si>
  <si>
    <t>../waveforms/gx_XeCTC_1ptDixon/vap_phase_rf_spoiling_262112.fdl</t>
  </si>
  <si>
    <t>../waveforms/gx_XeCTC_1ptDixon/interleaved_radial3D_129xe_fov400_mtx64_intlv2002_kdt10_gmax31_smax106_dur1p2_coca_rew2_1p25_HAL_flip.fdl</t>
  </si>
  <si>
    <t>../waveforms/gx_XeCTC_1ptDixon/interleaved_radial3D_129xe_fov400_mtx64_intlv2002_kdt10_gmax31_smax106_dur1p2_coca_rew2_1p25_HAL_freq.fdl</t>
  </si>
  <si>
    <t>gx_XeCTC_1ptDixon/radial3D_1h_fov400_mtx64_intlv4600_kdt18_gmax6_smax17_dur2_coca_rew2_1p25_HAL.wav</t>
  </si>
  <si>
    <t>../waveforms/gx_XeCTC_1ptDixon/radial3D_1h_fov400_mtx64_intlv4600_kdt18_gmax6_smax17_dur2_coca_rew2_1p25_HAL_phi.fdl</t>
  </si>
  <si>
    <t>../waveforms/gx_XeCTC_1ptDixon/radial3D_1h_fov400_mtx64_intlv4600_kdt18_gmax6_smax17_dur2_coca_rew2_1p25_HAL_theta.fdl</t>
  </si>
  <si>
    <t>../waveforms/qa_cpir_nutation/qa_cpir_nutation.cvs</t>
  </si>
  <si>
    <t>../waveforms/qa_cpir_nutation/qa_cpir_nutation_nexc18_start10_end180_flip.fdl</t>
  </si>
  <si>
    <t>qa_cpir_nutation</t>
  </si>
  <si>
    <t>Unused/Unnecessary</t>
  </si>
  <si>
    <t>qa_mnsrp_GradientNoise</t>
  </si>
  <si>
    <t>Sequence</t>
  </si>
  <si>
    <t>XD</t>
  </si>
  <si>
    <t>Pulse Sequence</t>
  </si>
  <si>
    <t>Options</t>
  </si>
  <si>
    <t>FOV</t>
  </si>
  <si>
    <t>Xres</t>
  </si>
  <si>
    <t>Yres</t>
  </si>
  <si>
    <t>Zres</t>
  </si>
  <si>
    <t>PSD</t>
  </si>
  <si>
    <t>sur_cpir_Localizer</t>
  </si>
  <si>
    <t/>
  </si>
  <si>
    <t>Gradient Echo</t>
  </si>
  <si>
    <t>Standard Sequences</t>
  </si>
  <si>
    <t>Tested</t>
  </si>
  <si>
    <t>Errors</t>
  </si>
  <si>
    <t>qa_cpir_FID</t>
  </si>
  <si>
    <t>Fid CSI</t>
  </si>
  <si>
    <t>EDR</t>
  </si>
  <si>
    <t>qa_polarean_image</t>
  </si>
  <si>
    <t>fidcsi2</t>
  </si>
  <si>
    <t>qa_mnsrp_SystemNoise</t>
  </si>
  <si>
    <t>cal_mnsrp_facal</t>
  </si>
  <si>
    <t>cal_cpir_dissolved</t>
  </si>
  <si>
    <t>cal_xectc_dissolved</t>
  </si>
  <si>
    <t>vent_mnsrp_2dCartesian</t>
  </si>
  <si>
    <t>vent_mnsrp_vFA2dCartesian</t>
  </si>
  <si>
    <t>anatvent_xectc_40cart</t>
  </si>
  <si>
    <t>vent_xectc_40cart</t>
  </si>
  <si>
    <t>anatvent_xectc_30cart</t>
  </si>
  <si>
    <t>vent_xectc_30cart</t>
  </si>
  <si>
    <t>anatvent_xectc_20cart</t>
  </si>
  <si>
    <t>vent_xectc_20cart</t>
  </si>
  <si>
    <t>gx_cpir_1ptDixon</t>
  </si>
  <si>
    <t>anatgx_cpir_1ptDixon</t>
  </si>
  <si>
    <t>gx_XeCTC_1ptDixon</t>
  </si>
  <si>
    <t>anatgx_XeCTC_1ptDixon</t>
  </si>
  <si>
    <t>SPGR</t>
  </si>
  <si>
    <t>Fast</t>
  </si>
  <si>
    <t>gx_mnsrp_3dMRSI</t>
  </si>
  <si>
    <t>anatgx_mnsrp_3dMRSI</t>
  </si>
  <si>
    <t>stru_cpir_4dzte</t>
  </si>
  <si>
    <t>research/ZTE4D/3dradial</t>
  </si>
  <si>
    <t>Seq,Fast</t>
  </si>
  <si>
    <t>EDR,Fast,SqP,ZIP512</t>
  </si>
  <si>
    <t>preful_cpir_ffe</t>
  </si>
  <si>
    <t>Seq,EDR,Fast,MPh,ARC</t>
  </si>
  <si>
    <t>sur_cpir_card2pcv</t>
  </si>
  <si>
    <t>Fiesta</t>
  </si>
  <si>
    <t>Gat,Seq,EDR,Fast,SqP,ZIP512,SonicDL</t>
  </si>
  <si>
    <t>sur_cpir_cardSACine</t>
  </si>
  <si>
    <t>cardiac_cpir_3Vflow</t>
  </si>
  <si>
    <t>Vasc PC</t>
  </si>
  <si>
    <t>FC,Gat,Seq,EDR,Fast,Asset</t>
  </si>
  <si>
    <t>cardiac_cpir_4dFlow</t>
  </si>
  <si>
    <t>4DFLOW</t>
  </si>
  <si>
    <t>Gat,EDR,Fast,ARC</t>
  </si>
  <si>
    <t>Scout_Localizer_3-plane</t>
  </si>
  <si>
    <t>Cor_GRE_Phantom_Signal</t>
  </si>
  <si>
    <t>Cor_GRE_Phantom_Noise</t>
  </si>
  <si>
    <t>Proton_Cor_GRE</t>
  </si>
  <si>
    <t>Seq,Fast,Sqp,ZIP512</t>
  </si>
  <si>
    <t>Xenon_Calibration</t>
  </si>
  <si>
    <t>Xenon_Bloch_Siegert</t>
  </si>
  <si>
    <t>Xenon_Cor_GRE_Ventilation</t>
  </si>
  <si>
    <t>Xenon_3D_Radial_Dixon</t>
  </si>
  <si>
    <t>cv_pars12.cvs</t>
  </si>
  <si>
    <t>diff_cpir_40Cart4bs2d</t>
  </si>
  <si>
    <t>diff_cpir_35Cart4bs2d</t>
  </si>
  <si>
    <t>diff_cpir_30Cart4bs2d</t>
  </si>
  <si>
    <t>diff_cpir_25Cart4bs2d</t>
  </si>
  <si>
    <t>diff_cpir_20Cart4bs2d</t>
  </si>
  <si>
    <t>gx_cpir_40MRSI</t>
  </si>
  <si>
    <t>gx_cpir_35MRSI</t>
  </si>
  <si>
    <t>gx_cpir_30MRSI</t>
  </si>
  <si>
    <t>gx_cpir_25MRSI</t>
  </si>
  <si>
    <t>anatgx_cpir_40MRSI</t>
  </si>
  <si>
    <t>anatgx_cpir_35MRSI</t>
  </si>
  <si>
    <t>anatgx_cpir_30MRSI</t>
  </si>
  <si>
    <t>anatgx_cpir_25MRSI</t>
  </si>
  <si>
    <t>Proton_3D_GRE</t>
  </si>
  <si>
    <t>vent_cpir_40SpiralVD2d</t>
  </si>
  <si>
    <t>vent_cpir_35SpiralVD2d</t>
  </si>
  <si>
    <t>vent_cpir_30SpiralVD2d</t>
  </si>
  <si>
    <t>vent_cpir_25SpiralVD2d</t>
  </si>
  <si>
    <t>vent_cpir_20SpiralVD2d</t>
  </si>
  <si>
    <t>anatvent_cpir_40SpiralVD2d</t>
  </si>
  <si>
    <t>anatvent_cpir_35SpiralVD2d</t>
  </si>
  <si>
    <t>anatvent_cpir_30SpiralVD2d</t>
  </si>
  <si>
    <t>anatvent_cpir_25SpiralVD2d</t>
  </si>
  <si>
    <t>anatvent_cpir_20SpiralVD2d</t>
  </si>
  <si>
    <t>vent_cpir_floret</t>
  </si>
  <si>
    <t>anatvent_cpir_floret</t>
  </si>
  <si>
    <t>../waveforms/vent_cpir_floret/vent_cpir_floret.cvs</t>
  </si>
  <si>
    <t>../waveforms/vent_cpir_floret/vap_phase_rf_spoiling_262112.fdl</t>
  </si>
  <si>
    <t>vent_cpir_floret/floret_h1_fov375_mtx97_arms12p6_hub3_0p4_intlv2304_bonus0_kdt2_gmax21_smax148_dur1p6_M8.wav</t>
  </si>
  <si>
    <t>../waveforms/vent_cpir_2dSpiralVD/vent_cpir_2dSpiralVD.cvs</t>
  </si>
  <si>
    <t>vent_cpir_2dSpiralVD/spiralbni_1h_fov400_mtx134_nexc24_bonus0_vd0start0stop1r1_kdt2_gmax24_smax149_dur2p1_M4.wav</t>
  </si>
  <si>
    <t>vent_cpir_2dSpiralVD/spiralbni_1h_fov350_mtx117_nexc21_bonus0_vd0start0stop1r1_kdt2_gmax24_smax149_dur2p1_M4.wav</t>
  </si>
  <si>
    <t>vent_cpir_2dSpiralVD/spiralbni_1h_fov300_mtx100_nexc18_bonus0_vd0start0stop1r1_kdt2_gmax24_smax149_dur2p1_M4.wav</t>
  </si>
  <si>
    <t>vent_cpir_2dSpiralVD/spiralbni_1h_fov250_mtx84_nexc15_bonus0_vd0start0stop1r1_kdt2_gmax24_smax149_dur2p1_M4.wav</t>
  </si>
  <si>
    <t>vent_cpir_2dSpiralVD/spiralbni_1h_fov200_mtx67_nexc12_bonus0_vd0start0stop1r1_kdt4_gmax24_smax149_dur2p1_M4.wav</t>
  </si>
  <si>
    <t>Sequence Name</t>
  </si>
  <si>
    <t>CV3 - Scan Mode</t>
  </si>
  <si>
    <t>CV4 - Total number of scans</t>
  </si>
  <si>
    <t>CV14 - rfpulse</t>
  </si>
  <si>
    <t>CV19 - blosi</t>
  </si>
  <si>
    <t>CV20 - vap</t>
  </si>
  <si>
    <t>cv21 - cv_pars</t>
  </si>
  <si>
    <t>Link #</t>
  </si>
  <si>
    <t>Notes</t>
  </si>
  <si>
    <t>recon26</t>
  </si>
  <si>
    <t>vap_</t>
  </si>
  <si>
    <t>cv_pars_</t>
  </si>
  <si>
    <t>vent_cpir_2dSpiralVD/spiralbni_129xe_fov400_mtx134_nexc26_bonus2_vd2start0p5stop1r2_kdt4_gmax41_smax119_dur6p9_M4.wav</t>
  </si>
  <si>
    <t>vent_cpir_2dSpiralVD/spiralbni_129xe_fov350_mtx117_nexc22_bonus2_vd2start0p5stop1r2_kdt4_gmax41_smax119_dur7p2_M4.wav</t>
  </si>
  <si>
    <t>vent_cpir_2dSpiralVD/spiralbni_129xe_fov300_mtx100_nexc20_bonus2_vd2start0p5stop1r2_kdt4_gmax41_smax119_dur6p8_M4.wav</t>
  </si>
  <si>
    <t>vent_cpir_2dSpiralVD/spiralbni_129xe_fov250_mtx84_nexc18_bonus2_vd2start0p5stop1r2_kdt4_gmax41_smax119_dur6p5_M4.wav</t>
  </si>
  <si>
    <t>vent_cpir_2dSpiralVD/spiralbni_129xe_fov200_mtx67_nexc14_bonus2_vd2start0p5stop1r2_kdt8_gmax41_smax119_dur6p9_M4.wav</t>
  </si>
  <si>
    <t>exrf rho</t>
  </si>
  <si>
    <t>exrf_gz</t>
  </si>
  <si>
    <t>/export/home/sdc/fidall/waveforms/rffiles/spsp2d_hshi_5_2_15_4374_17496.gz</t>
  </si>
  <si>
    <t>/export/home/sdc/fidall/waveforms/rffiles/spsp2d_hshi_5_2_15_4374_17496.rho</t>
  </si>
  <si>
    <t>/export/home/sdc/fidall/waveforms/rffiles/spsp2d_cent_1_2_21_6054_24216.gz</t>
  </si>
  <si>
    <t>/export/home/sdc/fidall/waveforms/rffiles/spsp2d_cent_1_2_21_6054_24216.rho</t>
  </si>
  <si>
    <t>/export/home/sdc/fidall/waveforms/rffiles/spsp2d_flyb_4_2_18_5610_22440.gz</t>
  </si>
  <si>
    <t>export/home/sdc/fidall/waveforms/rffiles/spsp2d_flyb_4_2_18_5610_22440.rho</t>
  </si>
  <si>
    <t>/export/home/sdc/fidall/waveforms/rffiles/rf4ssfp_FA90_nBW22_thick3_B1max12747_dur3424_gmax33_smax120.gz</t>
  </si>
  <si>
    <t>/export/home/sdc/fidall/waveforms/rffiles/rf4ssfp_FA90_nBW22_thick3_B1max12747_dur3424_gmax33_smax120.rho</t>
  </si>
  <si>
    <t>cv_pars</t>
  </si>
  <si>
    <t>cv_pars_13C_Pyr_ideal_spiral.cvs</t>
  </si>
  <si>
    <t>cv_pars20.cvs</t>
  </si>
  <si>
    <t>cv_pars21.cvs</t>
  </si>
  <si>
    <t>../waveforms/gx_cpir_1ptDixon/anatgx_cpir_1ptDixon.cvs</t>
  </si>
  <si>
    <t>../waveforms/gx_XeCTC_1ptDixon/anatgx_XeCTC_1ptDixon.cvs</t>
  </si>
  <si>
    <t>exrf_cvs</t>
  </si>
  <si>
    <t>../waveforms/rffiles/spsp2d_hshi_5_2_15_4374_17496.cvs</t>
  </si>
  <si>
    <t>../waveforms/rffiles/exrf_freq_flip40_t1p2_ref0p5_b1max6p3494_bw500.cvs</t>
  </si>
  <si>
    <t>../waveforms/rffiles/exrf_freq_flip40_t0p6_ref0p5_b1max11p855_bw1000.cvs</t>
  </si>
  <si>
    <t>exrf</t>
  </si>
  <si>
    <t>return</t>
  </si>
  <si>
    <t>Flip Angle</t>
  </si>
  <si>
    <t>TR</t>
  </si>
  <si>
    <t>TE</t>
  </si>
  <si>
    <t>GE hard pulse</t>
  </si>
  <si>
    <t>GE soft pulse</t>
  </si>
  <si>
    <t>MRSI Mode</t>
  </si>
  <si>
    <t>validate in vivo</t>
  </si>
  <si>
    <t>Fast GRE</t>
  </si>
  <si>
    <t>EDR,SqP</t>
  </si>
  <si>
    <t>Runs / Ready for Invivo Validation</t>
  </si>
  <si>
    <t>/export/home/sdc/fidall/bin/recon_cart_interp.py</t>
  </si>
  <si>
    <t>/export/home/sdc/fidall/bin/recon_calibration_cchmc.py</t>
  </si>
  <si>
    <t>/export/home/sdc/fidall/bin/recon_diffusion.py</t>
  </si>
  <si>
    <t>/export/home/sdc/fidall/bin/recon_grid3d_gx.py</t>
  </si>
  <si>
    <t>/export/home/sdc/fidall/bin/recon_grid_interp.py</t>
  </si>
  <si>
    <t>/export/home/sdc/fidall/bin/recon_nutation.py</t>
  </si>
  <si>
    <t>../waveforms/vent_cpir_2dSpiralVD/vap_phase_rf_spoiling_262112.fdl</t>
  </si>
  <si>
    <t>improve quality</t>
  </si>
  <si>
    <t>qa_cpir_PhantomCSI</t>
  </si>
  <si>
    <t>vent_cpir_floret/floret_x005F_xe129_fov375_mtx97_arms7p1_hub3_0p4_intlv1312_bonus10_kdt8_gmax21_smax139_dur7p7_M21.wav</t>
  </si>
  <si>
    <t>Xenon_3D_Radial_Dixon/interleaved_radial3D_129xe_fov400_mtx64_intlv2402_kdt10_gmax31_smax106_dur1p2_coca_rew2_1p25_HAL.wav</t>
  </si>
  <si>
    <t>gx_cpir_MRSI/mrsi3D_129Xe_scheme4_3_fov400_400_320_mtx40_40_32_bw20000_npts88_nexc1437_gmax30_smax144_ncok50_10.wav</t>
  </si>
  <si>
    <t>gx_cpir_MRSI/mrsi3D_129Xe_scheme4_3_fov350_350_280_mtx35_35_28_bw20000_npts88_nexc1264_gmax30_smax142_ncok50_10.wav</t>
  </si>
  <si>
    <t>gx_cpir_MRSI/mrsi3D_129Xe_scheme4_3_fov300_300_240_mtx30_30_24_bw20000_npts88_nexc1047_gmax29_smax140_ncok50_10.wav</t>
  </si>
  <si>
    <t>gx_cpir_MRSI/mrsi3D_129Xe_scheme4_3_fov250_250_200_mtx25_25_20_bw20000_npts88_nexc835_gmax30_smax140_ncok50_10.wav</t>
  </si>
  <si>
    <t>qa_cpir_PhantomCSI/mrsi3D_129Xe_scheme4_3_fov400_400_200_mtx40_40_20_bw5000_npts256_nexc1796_gmax30_smax144.wav</t>
  </si>
  <si>
    <t>rffiles/exrf_freq_flip40_t0p6_ref0p5_b1max12p375_bw1000_sb7130.rho</t>
  </si>
  <si>
    <t>RF_pulses/hardpulse_flip195_pw1000.rho</t>
  </si>
  <si>
    <t>RF_pulses/hardpulse_flip176_pw904.rho</t>
  </si>
  <si>
    <t>RF_pulses/hardpulse_flip156_pw800.rho</t>
  </si>
  <si>
    <t>RF_pulses/hardpulse_flip137_pw704.rho</t>
  </si>
  <si>
    <t>RF_pulses/hardpulse_flip116_pw600.rho</t>
  </si>
  <si>
    <t>../waveforms/Xenon_3D_Radial_Dixon/Xenon_3D_Radial_Dixon.cvs</t>
  </si>
  <si>
    <t>../waveforms/cal/vap_phase_rf_spoiling_262112.fdl</t>
  </si>
  <si>
    <t>../waveforms/Xenon_3D_Radial_Dixon/interleaved_radial3D_129xe_fov400_mtx64_intlv2402_kdt10_gmax31_smax106_dur1p2_coca_rew2_1p25_HAL_flip.fdl</t>
  </si>
  <si>
    <t>../waveforms/Xenon_3D_Radial_Dixon/interleaved_radial3D_129xe_fov400_mtx64_intlv2402_kdt10_gmax31_smax106_dur1p2_coca_rew2_1p25_HAL_freq.fdl</t>
  </si>
  <si>
    <t>../waveforms/Xenon_3D_Radial_Dixon/vap_phase_rf_spoiling_262112.fdl</t>
  </si>
  <si>
    <t>../waveforms/gx_cpir_MRSI/vap_flip_gx_16p293deg_tr10_10sat.fdl</t>
  </si>
  <si>
    <t>/export/home/sdc/fidall/bin/archive_pfile.py</t>
  </si>
  <si>
    <t>/export/home/sdc/fidall/bin/stack_plot.py</t>
  </si>
  <si>
    <t>/export/home/sdc/fidall/bin/recon_csi.py</t>
  </si>
  <si>
    <t>/export/home/sdc/fidall/bin/recon_csi_snr.py</t>
  </si>
  <si>
    <t>/export/home/sdc/fidall/bin/recon_csi_blosi.py</t>
  </si>
  <si>
    <t>/export/home/sdc/fidall/bin/recon_zte.py</t>
  </si>
  <si>
    <t>/export/home/sdc/fidall/bin/recon_snr_map_2Dgr.py</t>
  </si>
  <si>
    <t>/export/home/sdc/fidall/bin/mns_get_f0.py</t>
  </si>
  <si>
    <t>/export/home/sdc/fidall/bin/plot_spec_noise.py</t>
  </si>
  <si>
    <t>/export/home/sdc/fidall/bin/recon_epsi.py</t>
  </si>
  <si>
    <t>/export/home/sdc/fidall/bin/archive_dicom.py</t>
  </si>
  <si>
    <t>/export/home/sdc/fidall/bin/archive_all.py</t>
  </si>
  <si>
    <t>lower SNR?</t>
  </si>
  <si>
    <t>revalidate in vivo, confirm accurate dissolved fits</t>
  </si>
  <si>
    <t>try again in vivo, confirm same prescription as proton to confirm accuarate shifts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</si>
</sst>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quotePrefix="1" applyFont="1" applyFill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3" borderId="0" xfId="0" quotePrefix="1" applyFont="1" applyFill="1"/>
    <xf numFmtId="0" fontId="1" fillId="4" borderId="0" xfId="0" applyFont="1" applyFill="1" applyAlignment="1">
      <alignment horizontal="right"/>
    </xf>
    <xf numFmtId="0" fontId="1" fillId="4" borderId="0" xfId="0" applyFont="1" applyFill="1"/>
    <xf numFmtId="0" fontId="1" fillId="3" borderId="0" xfId="0" applyFont="1" applyFill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1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top" wrapText="1"/>
    </xf>
    <xf numFmtId="1" fontId="5" fillId="6" borderId="0" xfId="0" applyNumberFormat="1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 wrapText="1"/>
    </xf>
    <xf numFmtId="0" fontId="5" fillId="6" borderId="0" xfId="0" applyFont="1" applyFill="1" applyAlignment="1">
      <alignment horizontal="center" vertical="top"/>
    </xf>
    <xf numFmtId="0" fontId="5" fillId="7" borderId="0" xfId="0" applyFont="1" applyFill="1" applyAlignment="1">
      <alignment horizontal="center" vertical="top" wrapText="1"/>
    </xf>
    <xf numFmtId="0" fontId="5" fillId="8" borderId="0" xfId="0" applyFont="1" applyFill="1" applyAlignment="1">
      <alignment horizontal="center" vertical="top" wrapText="1"/>
    </xf>
    <xf numFmtId="0" fontId="5" fillId="9" borderId="0" xfId="0" applyFont="1" applyFill="1" applyAlignment="1">
      <alignment horizontal="center" vertical="top" wrapText="1"/>
    </xf>
    <xf numFmtId="0" fontId="0" fillId="0" borderId="0" xfId="0" applyAlignment="1">
      <alignment horizontal="left" vertical="top"/>
    </xf>
    <xf numFmtId="0" fontId="7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1" fontId="6" fillId="3" borderId="0" xfId="0" applyNumberFormat="1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0" fontId="6" fillId="4" borderId="0" xfId="0" applyFont="1" applyFill="1" applyAlignment="1">
      <alignment vertical="center" wrapText="1"/>
    </xf>
    <xf numFmtId="1" fontId="6" fillId="4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horizontal="right" vertical="center"/>
    </xf>
    <xf numFmtId="0" fontId="6" fillId="4" borderId="0" xfId="0" applyFont="1" applyFill="1" applyAlignment="1">
      <alignment horizontal="right" vertical="center" wrapText="1"/>
    </xf>
    <xf numFmtId="0" fontId="6" fillId="4" borderId="0" xfId="0" applyFont="1" applyFill="1" applyAlignment="1">
      <alignment vertical="center"/>
    </xf>
    <xf numFmtId="1" fontId="8" fillId="3" borderId="0" xfId="0" applyNumberFormat="1" applyFont="1" applyFill="1" applyAlignment="1">
      <alignment horizontal="right" vertical="center" wrapText="1"/>
    </xf>
    <xf numFmtId="0" fontId="2" fillId="0" borderId="6" xfId="0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0" fontId="6" fillId="0" borderId="0" xfId="0" applyFont="1" applyAlignment="1">
      <alignment wrapText="1"/>
    </xf>
    <xf numFmtId="2" fontId="1" fillId="3" borderId="0" xfId="0" applyNumberFormat="1" applyFont="1" applyFill="1"/>
    <xf numFmtId="2" fontId="1" fillId="4" borderId="0" xfId="0" applyNumberFormat="1" applyFont="1" applyFill="1"/>
    <xf numFmtId="0" fontId="6" fillId="10" borderId="0" xfId="0" applyFont="1" applyFill="1" applyAlignment="1">
      <alignment vertical="center" wrapText="1"/>
    </xf>
    <xf numFmtId="0" fontId="6" fillId="10" borderId="0" xfId="0" applyFont="1" applyFill="1" applyAlignment="1">
      <alignment vertical="center"/>
    </xf>
    <xf numFmtId="0" fontId="3" fillId="0" borderId="0" xfId="0" applyFont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66"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" formatCode="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lmering, Matthew" id="{596AA527-B5AF-4686-AA1F-7D715EDCE835}" userId="Willmering, Matthew" providerId="None"/>
  <person displayName="Willmering, Matthew" id="{5F801F73-CFE9-4135-A611-8E8739D6A8D6}" userId="S::Matthew.Willmering@cchmc.org::73f20fcd-ee70-46ee-98a8-2dd6b89b2ad0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F62A93-B883-49F9-AECA-160CC218783B}" name="Table5" displayName="Table5" ref="A5:L31" totalsRowShown="0" headerRowDxfId="47" dataDxfId="45" headerRowBorderDxfId="46" tableBorderDxfId="44">
  <autoFilter ref="A5:L31" xr:uid="{38F62A93-B883-49F9-AECA-160CC218783B}"/>
  <sortState xmlns:xlrd2="http://schemas.microsoft.com/office/spreadsheetml/2017/richdata2" ref="A6:L31">
    <sortCondition ref="A5:A31"/>
  </sortState>
  <tableColumns count="12">
    <tableColumn id="1" xr3:uid="{282C4D5D-16B8-4D44-AB5B-DCC4C895FDCD}" name="Sequence" dataDxfId="43"/>
    <tableColumn id="2" xr3:uid="{C1DF2BE0-3091-4056-8F8B-346DB1341129}" name="XD" dataDxfId="42"/>
    <tableColumn id="3" xr3:uid="{FCF21E0E-F171-493F-88D5-73E4703C8E38}" name="Pulse Sequence" dataDxfId="41"/>
    <tableColumn id="4" xr3:uid="{7601338D-2658-4334-9B13-FF47F4689F32}" name="PSD" dataDxfId="40"/>
    <tableColumn id="5" xr3:uid="{7EC93F9E-EC2D-46E8-8A5D-72431F7B182C}" name="Options" dataDxfId="39"/>
    <tableColumn id="6" xr3:uid="{92D86888-68E3-4443-9D4E-FE2A8A42CBDE}" name="FOV" dataDxfId="38"/>
    <tableColumn id="7" xr3:uid="{0E2EA1AC-806A-44C0-903C-CC6A05F19995}" name="Xres" dataDxfId="37"/>
    <tableColumn id="8" xr3:uid="{9ED74A47-1A07-4886-B3A7-C27B53BEB311}" name="Yres" dataDxfId="36"/>
    <tableColumn id="9" xr3:uid="{5740E41D-0859-45B1-8F63-B5AAD8BAC71D}" name="Zres" dataDxfId="35"/>
    <tableColumn id="10" xr3:uid="{A0306223-71CD-4954-9DCC-557D0F823917}" name="TE" dataDxfId="34"/>
    <tableColumn id="11" xr3:uid="{A09655A4-9261-48CD-857B-DB79AE4B694E}" name="TR" dataDxfId="33"/>
    <tableColumn id="12" xr3:uid="{5D58FBE3-E6B9-4FDE-B07C-CBA678792E69}" name="Flip Angle" dataDxfId="3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AF835-85A5-4691-992C-5DFF039AA201}" name="Table1" displayName="Table1" ref="A1:P39" totalsRowShown="0" headerRowDxfId="65" dataDxfId="64">
  <autoFilter ref="A1:P39" xr:uid="{401AF835-85A5-4691-992C-5DFF039AA201}"/>
  <sortState xmlns:xlrd2="http://schemas.microsoft.com/office/spreadsheetml/2017/richdata2" ref="A2:P39">
    <sortCondition ref="N1:N39"/>
  </sortState>
  <tableColumns count="16">
    <tableColumn id="1" xr3:uid="{EF2D2B94-5AF4-4120-AEAB-CF35924B423E}" name="Sequence Name" dataDxfId="63"/>
    <tableColumn id="15" xr3:uid="{91158CBC-0581-4963-A2DE-03C56FA7F92B}" name="Flip Angle" dataDxfId="62"/>
    <tableColumn id="16" xr3:uid="{EA0E3390-2213-4B68-ADA5-70414D15D9B2}" name="TE" dataDxfId="61"/>
    <tableColumn id="13" xr3:uid="{0CA8F88F-D37C-4E41-9DBE-1EB14AB9922B}" name="TR" dataDxfId="60"/>
    <tableColumn id="2" xr3:uid="{853F22B7-6AA7-4A50-999E-8BBF5B9D58AB}" name="CV3 - Scan Mode" dataDxfId="59"/>
    <tableColumn id="9" xr3:uid="{42557C68-10AA-472B-9E65-7F916AF7CED0}" name="ak_grad" dataDxfId="58">
      <calculatedColumnFormula>IF(_xlfn.XLOOKUP(Table1[[#This Row],[CV3 - Scan Mode]],'ak_grad links'!A:A,'ak_grad links'!B:B)=0,"",_xlfn.XLOOKUP(Table1[[#This Row],[CV3 - Scan Mode]],'ak_grad links'!A:A,'ak_grad links'!B:B))</calculatedColumnFormula>
    </tableColumn>
    <tableColumn id="10" xr3:uid="{45605298-A147-4BAB-9BE4-36C01FD458E7}" name="recon26" dataDxfId="57">
      <calculatedColumnFormula>IF(_xlfn.XLOOKUP(Table1[[#This Row],[CV3 - Scan Mode]],'recon links'!A:A,'recon links'!B:B)=0,"",_xlfn.XLOOKUP(Table1[[#This Row],[CV3 - Scan Mode]],'recon links'!A:A,'recon links'!B:B))</calculatedColumnFormula>
    </tableColumn>
    <tableColumn id="3" xr3:uid="{A3A47EDD-BDBA-43E0-A440-CD405D28DF23}" name="CV4 - Total number of scans" dataDxfId="56"/>
    <tableColumn id="4" xr3:uid="{942364A3-9137-41C6-8F65-BCC636A79C55}" name="CV14 - rfpulse" dataDxfId="55"/>
    <tableColumn id="14" xr3:uid="{66974B95-6164-4D53-910B-51966AB7487E}" name="exrf" dataDxfId="54">
      <calculatedColumnFormula>IF(_xlfn.XLOOKUP(Table1[[#This Row],[CV14 - rfpulse]],'rf links'!A:A,'rf links'!E:E)=0,"",_xlfn.XLOOKUP(Table1[[#This Row],[CV14 - rfpulse]],'rf links'!A:A,'rf links'!E:E))</calculatedColumnFormula>
    </tableColumn>
    <tableColumn id="5" xr3:uid="{31B12270-A388-4675-9787-CA0A6C8A3E7B}" name="CV19 - blosi" dataDxfId="53"/>
    <tableColumn id="6" xr3:uid="{E3DB65A9-F1E0-47E6-AF25-CA05D6F5E51C}" name="CV20 - vap" dataDxfId="52"/>
    <tableColumn id="11" xr3:uid="{AECBD0C4-10BB-4E93-8399-7D8592C29035}" name="vap_" dataDxfId="51">
      <calculatedColumnFormula>IF(_xlfn.XLOOKUP(Table1[[#This Row],[CV20 - vap]],'vap links'!A:A,'vap links'!K:K)=0,"",_xlfn.XLOOKUP(Table1[[#This Row],[CV20 - vap]],'vap links'!A:A,'vap links'!K:K))</calculatedColumnFormula>
    </tableColumn>
    <tableColumn id="7" xr3:uid="{0262097C-E03B-4B47-BE14-F7B63D5EB573}" name="cv21 - cv_pars" dataDxfId="50"/>
    <tableColumn id="12" xr3:uid="{56D6AFE7-D40A-4527-8143-A17A8DD0D708}" name="cv_pars_" dataDxfId="49">
      <calculatedColumnFormula>IF(_xlfn.XLOOKUP(Table1[[#This Row],[cv21 - cv_pars]],'cv_pars links'!A:A,'cv_pars links'!B:B)=0,"",_xlfn.XLOOKUP(Table1[[#This Row],[cv21 - cv_pars]],'cv_pars links'!A:A,'cv_pars links'!B:B))</calculatedColumnFormula>
    </tableColumn>
    <tableColumn id="8" xr3:uid="{305F0C93-BA2C-4F66-AD2B-EF5EA2B42C08}" name="Notes" dataDxfId="48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9F9AA9-7102-45EE-B744-CC5FF4B50B49}" name="Table2" displayName="Table2" ref="A1:B100" totalsRowShown="0" headerRowDxfId="31" dataDxfId="30">
  <autoFilter ref="A1:B100" xr:uid="{C89F9AA9-7102-45EE-B744-CC5FF4B50B49}"/>
  <tableColumns count="2">
    <tableColumn id="1" xr3:uid="{4445D726-E3A1-4854-A744-4C8ACBB659D9}" name="Link #" dataDxfId="29"/>
    <tableColumn id="2" xr3:uid="{EF2F34D5-4FAD-40A3-A94C-B8FAF5846B5E}" name="ak_grad" dataDxfId="28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0DE181-52F9-4CF8-A0EF-06CCA1F3A4DF}" name="Table245" displayName="Table245" ref="A1:E101" totalsRowShown="0" headerRowDxfId="27" dataDxfId="26">
  <autoFilter ref="A1:E101" xr:uid="{C89F9AA9-7102-45EE-B744-CC5FF4B50B49}"/>
  <tableColumns count="5">
    <tableColumn id="1" xr3:uid="{0D066E09-EFC3-4FA7-9334-0F5EF059A2C2}" name="Link #" dataDxfId="25"/>
    <tableColumn id="2" xr3:uid="{24D84E7A-5E89-4103-AE2C-9045F46A01BA}" name="exrf rho" dataDxfId="24"/>
    <tableColumn id="3" xr3:uid="{F6B2431D-0D10-4CEC-8AA4-9F8784E98DF1}" name="exrf_gz" dataDxfId="23"/>
    <tableColumn id="4" xr3:uid="{386262FE-2741-4643-8C80-839491B04369}" name="exrf_cvs" dataDxfId="22"/>
    <tableColumn id="5" xr3:uid="{1C72DE6D-55E7-47B6-BA74-E57280A0DA69}" name="return" dataDxfId="21">
      <calculatedColumnFormula>_xlfn.TEXTJOIN(CHAR(10),TRUE,Table245[[#This Row],[exrf rho]:[exrf_cvs]])</calculatedColumnFormula>
    </tableColumn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3D3F11-93C0-4E7C-99A6-F3A5A743D9CC}" name="Table24" displayName="Table24" ref="A1:B116" totalsRowShown="0" headerRowDxfId="20" dataDxfId="19">
  <autoFilter ref="A1:B116" xr:uid="{C89F9AA9-7102-45EE-B744-CC5FF4B50B49}"/>
  <tableColumns count="2">
    <tableColumn id="1" xr3:uid="{E97D5C2D-D2C6-44B5-AC53-54A014B510A2}" name="Link #" dataDxfId="18"/>
    <tableColumn id="2" xr3:uid="{A9E1253C-1336-45E6-990C-A0376D0BD417}" name="recon26" dataDxfId="17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AFEA94-3CE7-4BF9-A6F0-5D30DADC673B}" name="Table248" displayName="Table248" ref="A1:K100" totalsRowShown="0" headerRowDxfId="16" dataDxfId="15">
  <autoFilter ref="A1:K100" xr:uid="{C89F9AA9-7102-45EE-B744-CC5FF4B50B49}"/>
  <tableColumns count="11">
    <tableColumn id="1" xr3:uid="{9DEDAA32-5F62-45A2-ACCD-58AC0D10D8B8}" name="Link #" dataDxfId="14"/>
    <tableColumn id="2" xr3:uid="{57A7AFCD-BA18-4806-97C5-C06B8769866A}" name="vap_agx" dataDxfId="13"/>
    <tableColumn id="3" xr3:uid="{FA69607F-F676-46FD-A37A-40147A98BA8B}" name="vap_agy" dataDxfId="12"/>
    <tableColumn id="4" xr3:uid="{2E16125F-6757-4C1E-B7FD-D38F4645507B}" name="vap_agz" dataDxfId="11"/>
    <tableColumn id="5" xr3:uid="{3609459A-6185-4DA2-82EA-16A98A995AD0}" name="vap_flip" dataDxfId="10"/>
    <tableColumn id="6" xr3:uid="{2F85E967-BA86-4010-A8EA-FCF8AC4CF848}" name="vap_freq" dataDxfId="9"/>
    <tableColumn id="7" xr3:uid="{2B72D69C-5B66-40A0-A4A6-71B66F094AAE}" name="vap_phase" dataDxfId="8"/>
    <tableColumn id="8" xr3:uid="{97A7A2DF-833D-4734-9B23-3FA878AF73E4}" name="vap_phi" dataDxfId="7"/>
    <tableColumn id="9" xr3:uid="{2064BC42-A020-4AB3-A914-00CA3EFC5B66}" name="vap_theta" dataDxfId="6"/>
    <tableColumn id="10" xr3:uid="{0B66415C-2B39-43A4-B864-50446BE6C28D}" name="vap_tr" dataDxfId="5"/>
    <tableColumn id="11" xr3:uid="{4B548512-CA0B-4315-8710-6BE40BAF25C6}" name="return" dataDxfId="4">
      <calculatedColumnFormula>_xlfn.TEXTJOIN(CHAR(10),TRUE,Table248[[#This Row],[vap_agx]:[vap_tr]])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14E0A5B-F1BF-462A-93E3-8AA1B09A6B3D}" name="Table247" displayName="Table247" ref="A1:B100" totalsRowShown="0" headerRowDxfId="3" dataDxfId="2">
  <autoFilter ref="A1:B100" xr:uid="{C89F9AA9-7102-45EE-B744-CC5FF4B50B49}"/>
  <tableColumns count="2">
    <tableColumn id="1" xr3:uid="{C09B8CDC-5A50-4C5C-BE46-5C6125EEBE5B}" name="Link #" dataDxfId="1"/>
    <tableColumn id="2" xr3:uid="{196691C0-D341-4731-AA62-C468C9730744}" name="cv_pars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6-02-25T02:13:33.59" personId="{5F801F73-CFE9-4135-A611-8E8739D6A8D6}" id="{B17A7FFF-7C68-411C-BFD5-237F69EC18B1}">
    <text>Need to figure out online flow analysis</text>
  </threadedComment>
  <threadedComment ref="A16" dT="2026-03-13T00:45:36.39" personId="{5F801F73-CFE9-4135-A611-8E8739D6A8D6}" id="{4742B95D-1C11-4F4D-AB31-4E908C5B6789}">
    <text>Recons as all zeros online; can look at png in files</text>
  </threadedComment>
  <threadedComment ref="A17" dT="2026-03-13T00:45:31.28" personId="{5F801F73-CFE9-4135-A611-8E8739D6A8D6}" id="{EF0C78AE-90F2-49A5-9C03-0344C030174F}">
    <text>Recons as all zeros online; can look at png in files</text>
  </threadedComment>
  <threadedComment ref="A22" dT="2026-02-24T22:12:39.69" personId="{5F801F73-CFE9-4135-A611-8E8739D6A8D6}" id="{7E18C0B0-1AE6-4583-A6C7-41522124B8B4}">
    <text>Recons as all zeros online; can look at png in files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8" personId="{596AA527-B5AF-4686-AA1F-7D715EDCE835}" id="{38159633-DD9D-4E60-B368-66AF7AE20222}">
    <text>is 30 in UI for saturation/dummy pulses</text>
  </threadedComment>
  <threadedComment ref="E10" personId="{596AA527-B5AF-4686-AA1F-7D715EDCE835}" id="{9400B9B8-2257-45C2-B958-763CFE78B59F}">
    <text>via rhrecon</text>
  </threadedComment>
  <threadedComment ref="E11" personId="{596AA527-B5AF-4686-AA1F-7D715EDCE835}" id="{B045039B-94F3-4A30-8161-D67BD63491C4}">
    <text>via rhrecon</text>
  </threadedComment>
  <threadedComment ref="E21" personId="{596AA527-B5AF-4686-AA1F-7D715EDCE835}" id="{30749053-B0AC-4BAC-8347-0E0102740A1B}">
    <text>via rhrecon</text>
  </threadedComment>
  <threadedComment ref="B23" personId="{596AA527-B5AF-4686-AA1F-7D715EDCE835}" id="{4E2DAC28-6FD5-45FC-8A9B-207F365035D6}">
    <text>is 49 in UI for saturation/dummy pulses</text>
  </threadedComment>
  <threadedComment ref="B24" personId="{596AA527-B5AF-4686-AA1F-7D715EDCE835}" id="{73B24376-F327-46BF-806E-BE3737359CAF}">
    <text>is 49 in UI for saturation/dummy pulses</text>
  </threadedComment>
  <threadedComment ref="B25" personId="{596AA527-B5AF-4686-AA1F-7D715EDCE835}" id="{D9E22BBA-342D-40FA-9E23-1A210DEDE43E}">
    <text>is 49 in UI for saturation/dummy pulses</text>
  </threadedComment>
  <threadedComment ref="B26" personId="{596AA527-B5AF-4686-AA1F-7D715EDCE835}" id="{DBA03D74-0AFD-4EE1-B27C-296A0664C157}">
    <text>is 49 in UI for saturation/dummy pulses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zoomScaleNormal="100" workbookViewId="0">
      <selection activeCell="E37" sqref="E37"/>
    </sheetView>
  </sheetViews>
  <sheetFormatPr defaultColWidth="9.140625" defaultRowHeight="12" x14ac:dyDescent="0.2"/>
  <cols>
    <col min="1" max="1" width="23.140625" style="10" bestFit="1" customWidth="1"/>
    <col min="2" max="2" width="6.85546875" style="1" bestFit="1" customWidth="1"/>
    <col min="3" max="3" width="15.140625" style="1" bestFit="1" customWidth="1"/>
    <col min="4" max="4" width="16.7109375" style="1" bestFit="1" customWidth="1"/>
    <col min="5" max="5" width="24.7109375" style="1" bestFit="1" customWidth="1"/>
    <col min="6" max="6" width="7.7109375" style="1" bestFit="1" customWidth="1"/>
    <col min="7" max="8" width="9.28515625" style="1" bestFit="1" customWidth="1"/>
    <col min="9" max="9" width="7.7109375" style="1" bestFit="1" customWidth="1"/>
    <col min="10" max="10" width="6.5703125" style="1" bestFit="1" customWidth="1"/>
    <col min="11" max="11" width="6.7109375" style="1" bestFit="1" customWidth="1"/>
    <col min="12" max="12" width="11.42578125" style="1" bestFit="1" customWidth="1"/>
    <col min="13" max="15" width="16.42578125" style="1" customWidth="1"/>
    <col min="16" max="16" width="4.5703125" style="1" bestFit="1" customWidth="1"/>
    <col min="17" max="17" width="16.42578125" style="1" customWidth="1"/>
    <col min="18" max="16384" width="9.140625" style="1"/>
  </cols>
  <sheetData>
    <row r="1" spans="1:17" x14ac:dyDescent="0.2">
      <c r="A1" s="55" t="s">
        <v>133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12.75" thickBot="1" x14ac:dyDescent="0.2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s="4" customFormat="1" ht="12.75" thickBot="1" x14ac:dyDescent="0.25">
      <c r="A3" s="9"/>
      <c r="C3" s="6" t="s">
        <v>119</v>
      </c>
      <c r="D3" s="7" t="s">
        <v>134</v>
      </c>
      <c r="E3" s="8" t="s">
        <v>270</v>
      </c>
      <c r="F3" s="56" t="s">
        <v>135</v>
      </c>
      <c r="G3" s="57"/>
    </row>
    <row r="4" spans="1:17" s="4" customFormat="1" x14ac:dyDescent="0.2">
      <c r="A4" s="9"/>
      <c r="F4" s="5"/>
      <c r="G4" s="5"/>
    </row>
    <row r="5" spans="1:17" s="3" customFormat="1" x14ac:dyDescent="0.2">
      <c r="A5" s="48" t="s">
        <v>121</v>
      </c>
      <c r="B5" s="49" t="s">
        <v>122</v>
      </c>
      <c r="C5" s="49" t="s">
        <v>123</v>
      </c>
      <c r="D5" s="49" t="s">
        <v>129</v>
      </c>
      <c r="E5" s="49" t="s">
        <v>124</v>
      </c>
      <c r="F5" s="49" t="s">
        <v>125</v>
      </c>
      <c r="G5" s="49" t="s">
        <v>126</v>
      </c>
      <c r="H5" s="49" t="s">
        <v>127</v>
      </c>
      <c r="I5" s="49" t="s">
        <v>128</v>
      </c>
      <c r="J5" s="49" t="s">
        <v>263</v>
      </c>
      <c r="K5" s="49" t="s">
        <v>262</v>
      </c>
      <c r="L5" s="49" t="s">
        <v>261</v>
      </c>
    </row>
    <row r="6" spans="1:17" x14ac:dyDescent="0.2">
      <c r="A6" s="12" t="s">
        <v>199</v>
      </c>
      <c r="B6" s="13">
        <v>3</v>
      </c>
      <c r="C6" s="13" t="s">
        <v>157</v>
      </c>
      <c r="D6" s="2"/>
      <c r="E6" s="13" t="s">
        <v>158</v>
      </c>
      <c r="F6" s="13">
        <v>25</v>
      </c>
      <c r="G6" s="13">
        <v>5</v>
      </c>
      <c r="H6" s="13">
        <v>5</v>
      </c>
      <c r="I6" s="13">
        <v>5</v>
      </c>
      <c r="J6" s="13">
        <v>0.53600000000000003</v>
      </c>
      <c r="K6" s="51">
        <v>1.3</v>
      </c>
      <c r="L6" s="13">
        <v>3</v>
      </c>
    </row>
    <row r="7" spans="1:17" x14ac:dyDescent="0.2">
      <c r="A7" s="12" t="s">
        <v>198</v>
      </c>
      <c r="B7" s="13">
        <v>3</v>
      </c>
      <c r="C7" s="13" t="s">
        <v>157</v>
      </c>
      <c r="D7" s="2"/>
      <c r="E7" s="13" t="s">
        <v>158</v>
      </c>
      <c r="F7" s="13">
        <v>30</v>
      </c>
      <c r="G7" s="13">
        <v>5</v>
      </c>
      <c r="H7" s="13">
        <v>5</v>
      </c>
      <c r="I7" s="13">
        <v>5</v>
      </c>
      <c r="J7" s="13">
        <v>0.48799999999999999</v>
      </c>
      <c r="K7" s="51">
        <v>1.3</v>
      </c>
      <c r="L7" s="13">
        <v>3</v>
      </c>
    </row>
    <row r="8" spans="1:17" x14ac:dyDescent="0.2">
      <c r="A8" s="12" t="s">
        <v>197</v>
      </c>
      <c r="B8" s="13">
        <v>3</v>
      </c>
      <c r="C8" s="13" t="s">
        <v>157</v>
      </c>
      <c r="D8" s="2"/>
      <c r="E8" s="13" t="s">
        <v>158</v>
      </c>
      <c r="F8" s="13">
        <v>35</v>
      </c>
      <c r="G8" s="13">
        <v>5</v>
      </c>
      <c r="H8" s="13">
        <v>5</v>
      </c>
      <c r="I8" s="13">
        <v>5</v>
      </c>
      <c r="J8" s="13">
        <v>0.47599999999999998</v>
      </c>
      <c r="K8" s="51">
        <v>1.3</v>
      </c>
      <c r="L8" s="13">
        <v>3</v>
      </c>
    </row>
    <row r="9" spans="1:17" x14ac:dyDescent="0.2">
      <c r="A9" s="12" t="s">
        <v>196</v>
      </c>
      <c r="B9" s="13">
        <v>3</v>
      </c>
      <c r="C9" s="13" t="s">
        <v>157</v>
      </c>
      <c r="D9" s="2"/>
      <c r="E9" s="13" t="s">
        <v>158</v>
      </c>
      <c r="F9" s="13">
        <v>40</v>
      </c>
      <c r="G9" s="13">
        <v>5</v>
      </c>
      <c r="H9" s="13">
        <v>5</v>
      </c>
      <c r="I9" s="13">
        <v>5</v>
      </c>
      <c r="J9" s="13">
        <v>0.45600000000000002</v>
      </c>
      <c r="K9" s="51">
        <v>1.3</v>
      </c>
      <c r="L9" s="13">
        <v>3</v>
      </c>
    </row>
    <row r="10" spans="1:17" x14ac:dyDescent="0.2">
      <c r="A10" s="12" t="s">
        <v>160</v>
      </c>
      <c r="B10" s="13">
        <v>2</v>
      </c>
      <c r="C10" s="13" t="s">
        <v>268</v>
      </c>
      <c r="D10" s="2"/>
      <c r="E10" s="13" t="s">
        <v>138</v>
      </c>
      <c r="F10" s="13">
        <v>30</v>
      </c>
      <c r="G10" s="13">
        <f>300/72</f>
        <v>4.166666666666667</v>
      </c>
      <c r="H10" s="13">
        <f>267/64</f>
        <v>4.171875</v>
      </c>
      <c r="I10" s="13">
        <v>4.2</v>
      </c>
      <c r="J10" s="13">
        <v>1.204</v>
      </c>
      <c r="K10" s="51">
        <v>3.3</v>
      </c>
      <c r="L10" s="13">
        <v>10</v>
      </c>
    </row>
    <row r="11" spans="1:17" x14ac:dyDescent="0.2">
      <c r="A11" s="12" t="s">
        <v>151</v>
      </c>
      <c r="B11" s="13">
        <v>2</v>
      </c>
      <c r="C11" s="13" t="s">
        <v>268</v>
      </c>
      <c r="D11" s="2"/>
      <c r="E11" s="13" t="s">
        <v>269</v>
      </c>
      <c r="F11" s="13">
        <v>20</v>
      </c>
      <c r="G11" s="13">
        <v>2</v>
      </c>
      <c r="H11" s="13">
        <v>2</v>
      </c>
      <c r="I11" s="13">
        <v>15</v>
      </c>
      <c r="J11" s="13">
        <v>1.028</v>
      </c>
      <c r="K11" s="51">
        <v>3.2</v>
      </c>
      <c r="L11" s="13">
        <v>10</v>
      </c>
    </row>
    <row r="12" spans="1:17" x14ac:dyDescent="0.2">
      <c r="A12" s="12" t="s">
        <v>149</v>
      </c>
      <c r="B12" s="13">
        <v>2</v>
      </c>
      <c r="C12" s="13" t="s">
        <v>268</v>
      </c>
      <c r="D12" s="2"/>
      <c r="E12" s="13" t="s">
        <v>269</v>
      </c>
      <c r="F12" s="13">
        <v>30</v>
      </c>
      <c r="G12" s="13">
        <v>2</v>
      </c>
      <c r="H12" s="13">
        <v>2</v>
      </c>
      <c r="I12" s="13">
        <v>15</v>
      </c>
      <c r="J12" s="13">
        <v>1.02</v>
      </c>
      <c r="K12" s="51">
        <v>3.3</v>
      </c>
      <c r="L12" s="13">
        <v>10</v>
      </c>
    </row>
    <row r="13" spans="1:17" x14ac:dyDescent="0.2">
      <c r="A13" s="12" t="s">
        <v>147</v>
      </c>
      <c r="B13" s="13">
        <v>2</v>
      </c>
      <c r="C13" s="13" t="s">
        <v>268</v>
      </c>
      <c r="D13" s="2"/>
      <c r="E13" s="13" t="s">
        <v>269</v>
      </c>
      <c r="F13" s="13">
        <v>40</v>
      </c>
      <c r="G13" s="13">
        <v>2</v>
      </c>
      <c r="H13" s="13">
        <v>2</v>
      </c>
      <c r="I13" s="13">
        <v>15</v>
      </c>
      <c r="J13" s="13">
        <v>1.04</v>
      </c>
      <c r="K13" s="51">
        <v>3.5</v>
      </c>
      <c r="L13" s="13">
        <v>10</v>
      </c>
    </row>
    <row r="14" spans="1:17" x14ac:dyDescent="0.2">
      <c r="A14" s="15" t="s">
        <v>171</v>
      </c>
      <c r="B14" s="16">
        <v>2</v>
      </c>
      <c r="C14" s="16" t="s">
        <v>172</v>
      </c>
      <c r="D14" s="2"/>
      <c r="E14" s="16" t="s">
        <v>173</v>
      </c>
      <c r="F14" s="16">
        <v>30</v>
      </c>
      <c r="G14" s="16">
        <f>300/120</f>
        <v>2.5</v>
      </c>
      <c r="H14" s="16">
        <f>300/120</f>
        <v>2.5</v>
      </c>
      <c r="I14" s="16">
        <v>8</v>
      </c>
      <c r="J14" s="16">
        <v>2.8</v>
      </c>
      <c r="K14" s="52">
        <v>4.7</v>
      </c>
      <c r="L14" s="16">
        <v>10</v>
      </c>
    </row>
    <row r="15" spans="1:17" x14ac:dyDescent="0.2">
      <c r="A15" s="12" t="s">
        <v>174</v>
      </c>
      <c r="B15" s="13">
        <v>3</v>
      </c>
      <c r="C15" s="13" t="s">
        <v>175</v>
      </c>
      <c r="D15" s="2"/>
      <c r="E15" s="13" t="s">
        <v>176</v>
      </c>
      <c r="F15" s="13">
        <v>25</v>
      </c>
      <c r="G15" s="13">
        <f>250/128</f>
        <v>1.953125</v>
      </c>
      <c r="H15" s="13">
        <f>250/128</f>
        <v>1.953125</v>
      </c>
      <c r="I15" s="13">
        <v>2</v>
      </c>
      <c r="J15" s="13">
        <v>1.6</v>
      </c>
      <c r="K15" s="51">
        <v>3.6</v>
      </c>
      <c r="L15" s="13">
        <v>10</v>
      </c>
    </row>
    <row r="16" spans="1:17" x14ac:dyDescent="0.2">
      <c r="A16" s="15" t="s">
        <v>179</v>
      </c>
      <c r="B16" s="16">
        <v>2</v>
      </c>
      <c r="C16" s="16" t="s">
        <v>137</v>
      </c>
      <c r="D16" s="16" t="s">
        <v>140</v>
      </c>
      <c r="E16" s="16" t="s">
        <v>138</v>
      </c>
      <c r="F16" s="16">
        <v>48</v>
      </c>
      <c r="G16" s="16">
        <f>480/64</f>
        <v>7.5</v>
      </c>
      <c r="H16" s="16">
        <f>480/32</f>
        <v>15</v>
      </c>
      <c r="I16" s="16">
        <v>250</v>
      </c>
      <c r="J16" s="16">
        <v>0</v>
      </c>
      <c r="K16" s="52">
        <v>19.2</v>
      </c>
      <c r="L16" s="16">
        <v>1</v>
      </c>
    </row>
    <row r="17" spans="1:12" x14ac:dyDescent="0.2">
      <c r="A17" s="15" t="s">
        <v>178</v>
      </c>
      <c r="B17" s="16">
        <v>2</v>
      </c>
      <c r="C17" s="16" t="s">
        <v>137</v>
      </c>
      <c r="D17" s="16" t="s">
        <v>140</v>
      </c>
      <c r="E17" s="16" t="s">
        <v>138</v>
      </c>
      <c r="F17" s="16">
        <v>48</v>
      </c>
      <c r="G17" s="16">
        <f>480/64</f>
        <v>7.5</v>
      </c>
      <c r="H17" s="16">
        <f>480/32</f>
        <v>15</v>
      </c>
      <c r="I17" s="16">
        <v>250</v>
      </c>
      <c r="J17" s="16">
        <v>0</v>
      </c>
      <c r="K17" s="52">
        <v>750</v>
      </c>
      <c r="L17" s="16">
        <v>74</v>
      </c>
    </row>
    <row r="18" spans="1:12" x14ac:dyDescent="0.2">
      <c r="A18" s="12" t="s">
        <v>165</v>
      </c>
      <c r="B18" s="13">
        <v>2</v>
      </c>
      <c r="C18" s="13" t="s">
        <v>157</v>
      </c>
      <c r="D18" s="11" t="s">
        <v>131</v>
      </c>
      <c r="E18" s="17" t="s">
        <v>166</v>
      </c>
      <c r="F18" s="13">
        <v>50</v>
      </c>
      <c r="G18" s="13">
        <f>500/128</f>
        <v>3.90625</v>
      </c>
      <c r="H18" s="13">
        <f>500/128</f>
        <v>3.90625</v>
      </c>
      <c r="I18" s="13">
        <v>15</v>
      </c>
      <c r="J18" s="13">
        <v>0.74399999999999999</v>
      </c>
      <c r="K18" s="51">
        <v>2.1160000000000001</v>
      </c>
      <c r="L18" s="13">
        <v>5</v>
      </c>
    </row>
    <row r="19" spans="1:12" x14ac:dyDescent="0.2">
      <c r="A19" s="12" t="s">
        <v>200</v>
      </c>
      <c r="B19" s="13">
        <v>3</v>
      </c>
      <c r="C19" s="13" t="s">
        <v>157</v>
      </c>
      <c r="D19" s="2"/>
      <c r="E19" s="13" t="s">
        <v>158</v>
      </c>
      <c r="F19" s="13">
        <v>40</v>
      </c>
      <c r="G19" s="13">
        <f>400/64</f>
        <v>6.25</v>
      </c>
      <c r="H19" s="13">
        <f>400/64</f>
        <v>6.25</v>
      </c>
      <c r="I19" s="13">
        <v>6.25</v>
      </c>
      <c r="J19" s="13">
        <v>0.45600000000000002</v>
      </c>
      <c r="K19" s="51">
        <v>1.6</v>
      </c>
      <c r="L19" s="13">
        <v>3</v>
      </c>
    </row>
    <row r="20" spans="1:12" x14ac:dyDescent="0.2">
      <c r="A20" s="12" t="s">
        <v>180</v>
      </c>
      <c r="B20" s="13">
        <v>2</v>
      </c>
      <c r="C20" s="13" t="s">
        <v>132</v>
      </c>
      <c r="D20" s="2"/>
      <c r="E20" s="13" t="s">
        <v>181</v>
      </c>
      <c r="F20" s="13">
        <v>38.4</v>
      </c>
      <c r="G20" s="13">
        <f>384/96</f>
        <v>4</v>
      </c>
      <c r="H20" s="13">
        <f>384/96</f>
        <v>4</v>
      </c>
      <c r="I20" s="13">
        <v>15</v>
      </c>
      <c r="J20" s="13">
        <v>1.0880000000000001</v>
      </c>
      <c r="K20" s="51">
        <v>4.5</v>
      </c>
      <c r="L20" s="13">
        <v>10</v>
      </c>
    </row>
    <row r="21" spans="1:12" x14ac:dyDescent="0.2">
      <c r="A21" s="12" t="s">
        <v>136</v>
      </c>
      <c r="B21" s="13">
        <v>2</v>
      </c>
      <c r="C21" s="13" t="s">
        <v>137</v>
      </c>
      <c r="D21" s="2"/>
      <c r="E21" s="13" t="s">
        <v>138</v>
      </c>
      <c r="F21" s="13">
        <v>45</v>
      </c>
      <c r="G21" s="2"/>
      <c r="H21" s="2"/>
      <c r="I21" s="2"/>
      <c r="J21" s="13">
        <v>0</v>
      </c>
      <c r="K21" s="51">
        <v>4000</v>
      </c>
      <c r="L21" s="13">
        <v>90</v>
      </c>
    </row>
    <row r="22" spans="1:12" x14ac:dyDescent="0.2">
      <c r="A22" s="15" t="s">
        <v>139</v>
      </c>
      <c r="B22" s="16">
        <v>2</v>
      </c>
      <c r="C22" s="16" t="s">
        <v>137</v>
      </c>
      <c r="D22" s="16" t="s">
        <v>140</v>
      </c>
      <c r="E22" s="16" t="s">
        <v>138</v>
      </c>
      <c r="F22" s="16">
        <v>48</v>
      </c>
      <c r="G22" s="16">
        <f>480/64</f>
        <v>7.5</v>
      </c>
      <c r="H22" s="16">
        <f>480/32</f>
        <v>15</v>
      </c>
      <c r="I22" s="16">
        <v>250</v>
      </c>
      <c r="J22" s="16">
        <v>0</v>
      </c>
      <c r="K22" s="52">
        <v>750</v>
      </c>
      <c r="L22" s="16">
        <v>74</v>
      </c>
    </row>
    <row r="23" spans="1:12" x14ac:dyDescent="0.2">
      <c r="A23" s="12" t="s">
        <v>177</v>
      </c>
      <c r="B23" s="13">
        <v>2</v>
      </c>
      <c r="C23" s="13" t="s">
        <v>132</v>
      </c>
      <c r="D23" s="2"/>
      <c r="E23" s="13" t="s">
        <v>163</v>
      </c>
      <c r="F23" s="13">
        <v>50</v>
      </c>
      <c r="G23" s="13">
        <f>500/256</f>
        <v>1.953125</v>
      </c>
      <c r="H23" s="13">
        <f>500/128</f>
        <v>3.90625</v>
      </c>
      <c r="I23" s="13">
        <v>15</v>
      </c>
      <c r="J23" s="13">
        <v>1.0840000000000001</v>
      </c>
      <c r="K23" s="51">
        <v>4.4359999999999999</v>
      </c>
      <c r="L23" s="13">
        <v>30</v>
      </c>
    </row>
    <row r="24" spans="1:12" x14ac:dyDescent="0.2">
      <c r="A24" s="12" t="s">
        <v>161</v>
      </c>
      <c r="B24" s="13">
        <v>3</v>
      </c>
      <c r="C24" s="13" t="s">
        <v>132</v>
      </c>
      <c r="D24" s="12" t="s">
        <v>162</v>
      </c>
      <c r="E24" s="13" t="s">
        <v>164</v>
      </c>
      <c r="F24" s="13">
        <v>35</v>
      </c>
      <c r="G24" s="13">
        <f>350/220</f>
        <v>1.5909090909090908</v>
      </c>
      <c r="H24" s="13">
        <f>350/220</f>
        <v>1.5909090909090908</v>
      </c>
      <c r="I24" s="13">
        <v>1.6</v>
      </c>
      <c r="J24" s="13">
        <v>1.6E-2</v>
      </c>
      <c r="K24" s="51">
        <v>200.28</v>
      </c>
      <c r="L24" s="13">
        <v>2</v>
      </c>
    </row>
    <row r="25" spans="1:12" x14ac:dyDescent="0.2">
      <c r="A25" s="12" t="s">
        <v>167</v>
      </c>
      <c r="B25" s="13">
        <v>2</v>
      </c>
      <c r="C25" s="13" t="s">
        <v>168</v>
      </c>
      <c r="D25" s="2"/>
      <c r="E25" s="13" t="s">
        <v>169</v>
      </c>
      <c r="F25" s="13">
        <v>36</v>
      </c>
      <c r="G25" s="13">
        <f>360/192</f>
        <v>1.875</v>
      </c>
      <c r="H25" s="13">
        <f>360/160</f>
        <v>2.25</v>
      </c>
      <c r="I25" s="13">
        <f>8</f>
        <v>8</v>
      </c>
      <c r="J25" s="13">
        <v>0.9</v>
      </c>
      <c r="K25" s="51">
        <v>2.6</v>
      </c>
      <c r="L25" s="13">
        <v>49</v>
      </c>
    </row>
    <row r="26" spans="1:12" x14ac:dyDescent="0.2">
      <c r="A26" s="12" t="s">
        <v>170</v>
      </c>
      <c r="B26" s="13">
        <v>2</v>
      </c>
      <c r="C26" s="13" t="s">
        <v>168</v>
      </c>
      <c r="D26" s="2"/>
      <c r="E26" s="13" t="s">
        <v>169</v>
      </c>
      <c r="F26" s="13">
        <v>36</v>
      </c>
      <c r="G26" s="13">
        <f>360/192</f>
        <v>1.875</v>
      </c>
      <c r="H26" s="13">
        <f>360/160</f>
        <v>2.25</v>
      </c>
      <c r="I26" s="13">
        <f>8</f>
        <v>8</v>
      </c>
      <c r="J26" s="13">
        <v>0.9</v>
      </c>
      <c r="K26" s="51">
        <v>2.6</v>
      </c>
      <c r="L26" s="13">
        <v>49</v>
      </c>
    </row>
    <row r="27" spans="1:12" x14ac:dyDescent="0.2">
      <c r="A27" s="12" t="s">
        <v>130</v>
      </c>
      <c r="B27" s="13">
        <v>2</v>
      </c>
      <c r="C27" s="14" t="s">
        <v>132</v>
      </c>
      <c r="D27" s="11" t="s">
        <v>131</v>
      </c>
      <c r="E27" s="13" t="s">
        <v>163</v>
      </c>
      <c r="F27" s="13">
        <v>50</v>
      </c>
      <c r="G27" s="13">
        <f>500/256</f>
        <v>1.953125</v>
      </c>
      <c r="H27" s="13">
        <f>500/128</f>
        <v>3.90625</v>
      </c>
      <c r="I27" s="13">
        <v>15</v>
      </c>
      <c r="J27" s="13">
        <v>1.0840000000000001</v>
      </c>
      <c r="K27" s="51">
        <v>4.4359999999999999</v>
      </c>
      <c r="L27" s="13">
        <v>30</v>
      </c>
    </row>
    <row r="28" spans="1:12" x14ac:dyDescent="0.2">
      <c r="A28" s="12" t="s">
        <v>152</v>
      </c>
      <c r="B28" s="13">
        <v>2</v>
      </c>
      <c r="C28" s="13" t="s">
        <v>137</v>
      </c>
      <c r="D28" s="13" t="s">
        <v>140</v>
      </c>
      <c r="E28" s="13" t="s">
        <v>138</v>
      </c>
      <c r="F28" s="13">
        <v>20</v>
      </c>
      <c r="G28" s="13">
        <v>4</v>
      </c>
      <c r="H28" s="13">
        <v>4</v>
      </c>
      <c r="I28" s="13">
        <v>15</v>
      </c>
      <c r="J28" s="13">
        <v>0</v>
      </c>
      <c r="K28" s="51">
        <v>123.6</v>
      </c>
      <c r="L28" s="13">
        <v>10</v>
      </c>
    </row>
    <row r="29" spans="1:12" x14ac:dyDescent="0.2">
      <c r="A29" s="12" t="s">
        <v>150</v>
      </c>
      <c r="B29" s="13">
        <v>2</v>
      </c>
      <c r="C29" s="13" t="s">
        <v>137</v>
      </c>
      <c r="D29" s="13" t="s">
        <v>140</v>
      </c>
      <c r="E29" s="13" t="s">
        <v>138</v>
      </c>
      <c r="F29" s="13">
        <v>30</v>
      </c>
      <c r="G29" s="13">
        <v>4</v>
      </c>
      <c r="H29" s="13">
        <v>4</v>
      </c>
      <c r="I29" s="13">
        <v>15</v>
      </c>
      <c r="J29" s="13">
        <v>0</v>
      </c>
      <c r="K29" s="51">
        <v>145.5</v>
      </c>
      <c r="L29" s="13">
        <v>10</v>
      </c>
    </row>
    <row r="30" spans="1:12" x14ac:dyDescent="0.2">
      <c r="A30" s="12" t="s">
        <v>148</v>
      </c>
      <c r="B30" s="13">
        <v>2</v>
      </c>
      <c r="C30" s="13" t="s">
        <v>137</v>
      </c>
      <c r="D30" s="13" t="s">
        <v>140</v>
      </c>
      <c r="E30" s="13" t="s">
        <v>138</v>
      </c>
      <c r="F30" s="13">
        <v>40</v>
      </c>
      <c r="G30" s="13">
        <v>4</v>
      </c>
      <c r="H30" s="13">
        <v>4</v>
      </c>
      <c r="I30" s="13">
        <v>15</v>
      </c>
      <c r="J30" s="13">
        <v>0</v>
      </c>
      <c r="K30" s="51">
        <v>155.9</v>
      </c>
      <c r="L30" s="13">
        <v>10</v>
      </c>
    </row>
    <row r="31" spans="1:12" x14ac:dyDescent="0.2">
      <c r="A31" s="12" t="s">
        <v>184</v>
      </c>
      <c r="B31" s="13">
        <v>2</v>
      </c>
      <c r="C31" s="13" t="s">
        <v>137</v>
      </c>
      <c r="D31" s="13" t="s">
        <v>140</v>
      </c>
      <c r="E31" s="13" t="s">
        <v>138</v>
      </c>
      <c r="F31" s="13">
        <v>38.4</v>
      </c>
      <c r="G31" s="13">
        <f>384/96</f>
        <v>4</v>
      </c>
      <c r="H31" s="13">
        <f>384/96</f>
        <v>4</v>
      </c>
      <c r="I31" s="13">
        <v>15</v>
      </c>
      <c r="J31" s="13">
        <v>0</v>
      </c>
      <c r="K31" s="51">
        <v>124.7</v>
      </c>
      <c r="L31" s="13">
        <v>10</v>
      </c>
    </row>
  </sheetData>
  <mergeCells count="2">
    <mergeCell ref="A1:Q2"/>
    <mergeCell ref="F3:G3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8128-1BE8-41AB-8B40-7D29F27953C4}">
  <dimension ref="A1:P39"/>
  <sheetViews>
    <sheetView tabSelected="1" topLeftCell="A8" workbookViewId="0">
      <selection activeCell="P22" sqref="P22"/>
    </sheetView>
  </sheetViews>
  <sheetFormatPr defaultColWidth="9.140625" defaultRowHeight="12.75" x14ac:dyDescent="0.25"/>
  <cols>
    <col min="1" max="1" width="24" style="19" bestFit="1" customWidth="1"/>
    <col min="2" max="2" width="6.85546875" style="19" customWidth="1"/>
    <col min="3" max="3" width="7" style="19" bestFit="1" customWidth="1"/>
    <col min="4" max="4" width="4.85546875" style="25" customWidth="1"/>
    <col min="5" max="5" width="10" style="27" customWidth="1"/>
    <col min="6" max="6" width="121.5703125" style="26" hidden="1" customWidth="1"/>
    <col min="7" max="7" width="61.85546875" style="27" hidden="1" customWidth="1"/>
    <col min="8" max="8" width="11.140625" style="27" customWidth="1"/>
    <col min="9" max="9" width="7.5703125" style="27" customWidth="1"/>
    <col min="10" max="10" width="74" style="27" hidden="1" customWidth="1"/>
    <col min="11" max="11" width="6.5703125" style="27" customWidth="1"/>
    <col min="12" max="12" width="6" style="27" customWidth="1"/>
    <col min="13" max="13" width="111.42578125" style="27" hidden="1" customWidth="1"/>
    <col min="14" max="14" width="7.5703125" style="27" customWidth="1"/>
    <col min="15" max="15" width="51" style="22" hidden="1" customWidth="1"/>
    <col min="16" max="16" width="116.42578125" style="19" bestFit="1" customWidth="1"/>
    <col min="17" max="16384" width="9.140625" style="19"/>
  </cols>
  <sheetData>
    <row r="1" spans="1:16" s="28" customFormat="1" ht="45" x14ac:dyDescent="0.25">
      <c r="A1" s="28" t="s">
        <v>222</v>
      </c>
      <c r="B1" s="28" t="s">
        <v>261</v>
      </c>
      <c r="C1" s="28" t="s">
        <v>263</v>
      </c>
      <c r="D1" s="28" t="s">
        <v>262</v>
      </c>
      <c r="E1" s="29" t="s">
        <v>223</v>
      </c>
      <c r="F1" s="30" t="s">
        <v>0</v>
      </c>
      <c r="G1" s="31" t="s">
        <v>231</v>
      </c>
      <c r="H1" s="28" t="s">
        <v>224</v>
      </c>
      <c r="I1" s="32" t="s">
        <v>225</v>
      </c>
      <c r="J1" s="32" t="s">
        <v>259</v>
      </c>
      <c r="K1" s="28" t="s">
        <v>226</v>
      </c>
      <c r="L1" s="33" t="s">
        <v>227</v>
      </c>
      <c r="M1" s="33" t="s">
        <v>232</v>
      </c>
      <c r="N1" s="34" t="s">
        <v>228</v>
      </c>
      <c r="O1" s="34" t="s">
        <v>233</v>
      </c>
      <c r="P1" s="35" t="s">
        <v>230</v>
      </c>
    </row>
    <row r="2" spans="1:16" x14ac:dyDescent="0.25">
      <c r="A2" s="37" t="s">
        <v>279</v>
      </c>
      <c r="B2" s="37">
        <v>19</v>
      </c>
      <c r="C2" s="37">
        <v>0.746</v>
      </c>
      <c r="D2" s="37">
        <v>58.1</v>
      </c>
      <c r="E2" s="38">
        <v>1</v>
      </c>
      <c r="F2" s="39" t="str">
        <f>IF(_xlfn.XLOOKUP(Table1[[#This Row],[CV3 - Scan Mode]],'ak_grad links'!A:A,'ak_grad links'!B:B)=0,"",_xlfn.XLOOKUP(Table1[[#This Row],[CV3 - Scan Mode]],'ak_grad links'!A:A,'ak_grad links'!B:B))</f>
        <v>MRSI Mode</v>
      </c>
      <c r="G2" s="40" t="str">
        <f>IF(_xlfn.XLOOKUP(Table1[[#This Row],[CV3 - Scan Mode]],'recon links'!A:A,'recon links'!B:B)=0,"",_xlfn.XLOOKUP(Table1[[#This Row],[CV3 - Scan Mode]],'recon links'!A:A,'recon links'!B:B))</f>
        <v>/export/home/sdc/fidall/bin/stack_plot.py
/export/home/sdc/fidall/bin/recon_csi.py
/export/home/sdc/fidall/bin/recon_prescan.py</v>
      </c>
      <c r="H2" s="40">
        <v>1</v>
      </c>
      <c r="I2" s="40">
        <v>0</v>
      </c>
      <c r="J2" s="40" t="str">
        <f>IF(_xlfn.XLOOKUP(Table1[[#This Row],[CV14 - rfpulse]],'rf links'!A:A,'rf links'!E:E)=0,"",_xlfn.XLOOKUP(Table1[[#This Row],[CV14 - rfpulse]],'rf links'!A:A,'rf links'!E:E))</f>
        <v>GE hard pulse</v>
      </c>
      <c r="K2" s="40">
        <v>0</v>
      </c>
      <c r="L2" s="40">
        <v>0</v>
      </c>
      <c r="M2" s="40" t="e">
        <f>IF(_xlfn.XLOOKUP(Table1[[#This Row],[CV20 - vap]],'vap links'!A:A,'vap links'!K:K)=0,"",_xlfn.XLOOKUP(Table1[[#This Row],[CV20 - vap]],'vap links'!A:A,'vap links'!K:K))</f>
        <v>#N/A</v>
      </c>
      <c r="N2" s="40">
        <v>0</v>
      </c>
      <c r="O2" s="40" t="e">
        <f>IF(_xlfn.XLOOKUP(Table1[[#This Row],[cv21 - cv_pars]],'cv_pars links'!A:A,'cv_pars links'!B:B)=0,"",_xlfn.XLOOKUP(Table1[[#This Row],[cv21 - cv_pars]],'cv_pars links'!A:A,'cv_pars links'!B:B))</f>
        <v>#N/A</v>
      </c>
      <c r="P2" s="41"/>
    </row>
    <row r="3" spans="1:16" ht="38.25" x14ac:dyDescent="0.25">
      <c r="A3" s="37" t="s">
        <v>141</v>
      </c>
      <c r="B3" s="37">
        <v>90</v>
      </c>
      <c r="C3" s="37">
        <v>0.45500000000000002</v>
      </c>
      <c r="D3" s="37">
        <v>74.599999999999994</v>
      </c>
      <c r="E3" s="38">
        <v>1</v>
      </c>
      <c r="F3" s="39" t="str">
        <f>IF(_xlfn.XLOOKUP(Table1[[#This Row],[CV3 - Scan Mode]],'ak_grad links'!A:A,'ak_grad links'!B:B)=0,"",_xlfn.XLOOKUP(Table1[[#This Row],[CV3 - Scan Mode]],'ak_grad links'!A:A,'ak_grad links'!B:B))</f>
        <v>MRSI Mode</v>
      </c>
      <c r="G3" s="39" t="str">
        <f>IF(_xlfn.XLOOKUP(Table1[[#This Row],[CV3 - Scan Mode]],'recon links'!A:A,'recon links'!B:B)=0,"",_xlfn.XLOOKUP(Table1[[#This Row],[CV3 - Scan Mode]],'recon links'!A:A,'recon links'!B:B))</f>
        <v>/export/home/sdc/fidall/bin/stack_plot.py
/export/home/sdc/fidall/bin/recon_csi.py
/export/home/sdc/fidall/bin/recon_prescan.py</v>
      </c>
      <c r="H3" s="40">
        <v>256</v>
      </c>
      <c r="I3" s="40">
        <v>0</v>
      </c>
      <c r="J3" s="40" t="str">
        <f>IF(_xlfn.XLOOKUP(Table1[[#This Row],[CV14 - rfpulse]],'rf links'!A:A,'rf links'!E:E)=0,"",_xlfn.XLOOKUP(Table1[[#This Row],[CV14 - rfpulse]],'rf links'!A:A,'rf links'!E:E))</f>
        <v>GE hard pulse</v>
      </c>
      <c r="K3" s="40">
        <v>0</v>
      </c>
      <c r="L3" s="40">
        <v>0</v>
      </c>
      <c r="M3" s="40" t="e">
        <f>IF(_xlfn.XLOOKUP(Table1[[#This Row],[CV20 - vap]],'vap links'!A:A,'vap links'!K:K)=0,"",_xlfn.XLOOKUP(Table1[[#This Row],[CV20 - vap]],'vap links'!A:A,'vap links'!K:K))</f>
        <v>#N/A</v>
      </c>
      <c r="N3" s="40">
        <v>0</v>
      </c>
      <c r="O3" s="40" t="e">
        <f>IF(_xlfn.XLOOKUP(Table1[[#This Row],[cv21 - cv_pars]],'cv_pars links'!A:A,'cv_pars links'!B:B)=0,"",_xlfn.XLOOKUP(Table1[[#This Row],[cv21 - cv_pars]],'cv_pars links'!A:A,'cv_pars links'!B:B))</f>
        <v>#N/A</v>
      </c>
      <c r="P3" s="41"/>
    </row>
    <row r="4" spans="1:16" x14ac:dyDescent="0.25">
      <c r="A4" s="37" t="s">
        <v>142</v>
      </c>
      <c r="B4" s="37">
        <v>10</v>
      </c>
      <c r="C4" s="37">
        <v>4.67</v>
      </c>
      <c r="D4" s="37">
        <v>88.8</v>
      </c>
      <c r="E4" s="38">
        <v>1</v>
      </c>
      <c r="F4" s="39" t="str">
        <f>IF(_xlfn.XLOOKUP(Table1[[#This Row],[CV3 - Scan Mode]],'ak_grad links'!A:A,'ak_grad links'!B:B)=0,"",_xlfn.XLOOKUP(Table1[[#This Row],[CV3 - Scan Mode]],'ak_grad links'!A:A,'ak_grad links'!B:B))</f>
        <v>MRSI Mode</v>
      </c>
      <c r="G4" s="39" t="str">
        <f>IF(_xlfn.XLOOKUP(Table1[[#This Row],[CV3 - Scan Mode]],'recon links'!A:A,'recon links'!B:B)=0,"",_xlfn.XLOOKUP(Table1[[#This Row],[CV3 - Scan Mode]],'recon links'!A:A,'recon links'!B:B))</f>
        <v>/export/home/sdc/fidall/bin/stack_plot.py
/export/home/sdc/fidall/bin/recon_csi.py
/export/home/sdc/fidall/bin/recon_prescan.py</v>
      </c>
      <c r="H4" s="40">
        <v>12</v>
      </c>
      <c r="I4" s="40">
        <v>0</v>
      </c>
      <c r="J4" s="40" t="str">
        <f>IF(_xlfn.XLOOKUP(Table1[[#This Row],[CV14 - rfpulse]],'rf links'!A:A,'rf links'!E:E)=0,"",_xlfn.XLOOKUP(Table1[[#This Row],[CV14 - rfpulse]],'rf links'!A:A,'rf links'!E:E))</f>
        <v>GE hard pulse</v>
      </c>
      <c r="K4" s="40">
        <v>4</v>
      </c>
      <c r="L4" s="40">
        <v>0</v>
      </c>
      <c r="M4" s="40" t="e">
        <f>IF(_xlfn.XLOOKUP(Table1[[#This Row],[CV20 - vap]],'vap links'!A:A,'vap links'!K:K)=0,"",_xlfn.XLOOKUP(Table1[[#This Row],[CV20 - vap]],'vap links'!A:A,'vap links'!K:K))</f>
        <v>#N/A</v>
      </c>
      <c r="N4" s="40">
        <v>12</v>
      </c>
      <c r="O4" s="40" t="str">
        <f>IF(_xlfn.XLOOKUP(Table1[[#This Row],[cv21 - cv_pars]],'cv_pars links'!A:A,'cv_pars links'!B:B)=0,"",_xlfn.XLOOKUP(Table1[[#This Row],[cv21 - cv_pars]],'cv_pars links'!A:A,'cv_pars links'!B:B))</f>
        <v>cv_pars12.cvs</v>
      </c>
      <c r="P4" s="41"/>
    </row>
    <row r="5" spans="1:16" x14ac:dyDescent="0.25">
      <c r="A5" s="37" t="s">
        <v>183</v>
      </c>
      <c r="B5" s="37">
        <v>10</v>
      </c>
      <c r="C5" s="37">
        <v>4.9139999999999997</v>
      </c>
      <c r="D5" s="37">
        <v>50</v>
      </c>
      <c r="E5" s="38">
        <v>1</v>
      </c>
      <c r="F5" s="39" t="str">
        <f>IF(_xlfn.XLOOKUP(Table1[[#This Row],[CV3 - Scan Mode]],'ak_grad links'!A:A,'ak_grad links'!B:B)=0,"",_xlfn.XLOOKUP(Table1[[#This Row],[CV3 - Scan Mode]],'ak_grad links'!A:A,'ak_grad links'!B:B))</f>
        <v>MRSI Mode</v>
      </c>
      <c r="G5" s="39" t="str">
        <f>IF(_xlfn.XLOOKUP(Table1[[#This Row],[CV3 - Scan Mode]],'recon links'!A:A,'recon links'!B:B)=0,"",_xlfn.XLOOKUP(Table1[[#This Row],[CV3 - Scan Mode]],'recon links'!A:A,'recon links'!B:B))</f>
        <v>/export/home/sdc/fidall/bin/stack_plot.py
/export/home/sdc/fidall/bin/recon_csi.py
/export/home/sdc/fidall/bin/recon_prescan.py</v>
      </c>
      <c r="H5" s="40">
        <v>20</v>
      </c>
      <c r="I5" s="40">
        <v>52</v>
      </c>
      <c r="J5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5" s="40">
        <v>4</v>
      </c>
      <c r="L5" s="40">
        <v>0</v>
      </c>
      <c r="M5" s="40" t="e">
        <f>IF(_xlfn.XLOOKUP(Table1[[#This Row],[CV20 - vap]],'vap links'!A:A,'vap links'!K:K)=0,"",_xlfn.XLOOKUP(Table1[[#This Row],[CV20 - vap]],'vap links'!A:A,'vap links'!K:K))</f>
        <v>#N/A</v>
      </c>
      <c r="N5" s="40">
        <v>12</v>
      </c>
      <c r="O5" s="40" t="str">
        <f>IF(_xlfn.XLOOKUP(Table1[[#This Row],[cv21 - cv_pars]],'cv_pars links'!A:A,'cv_pars links'!B:B)=0,"",_xlfn.XLOOKUP(Table1[[#This Row],[cv21 - cv_pars]],'cv_pars links'!A:A,'cv_pars links'!B:B))</f>
        <v>cv_pars12.cvs</v>
      </c>
      <c r="P5" s="41"/>
    </row>
    <row r="6" spans="1:16" x14ac:dyDescent="0.25">
      <c r="A6" s="37" t="s">
        <v>145</v>
      </c>
      <c r="B6" s="37">
        <v>10.3</v>
      </c>
      <c r="C6" s="37">
        <v>2.048</v>
      </c>
      <c r="D6" s="37">
        <v>154</v>
      </c>
      <c r="E6" s="38">
        <v>15</v>
      </c>
      <c r="F6" s="39" t="str">
        <f>IF(_xlfn.XLOOKUP(Table1[[#This Row],[CV3 - Scan Mode]],'ak_grad links'!A:A,'ak_grad links'!B:B)=0,"",_xlfn.XLOOKUP(Table1[[#This Row],[CV3 - Scan Mode]],'ak_grad links'!A:A,'ak_grad links'!B:B))</f>
        <v>cart/cart2D_129Xe_fov300x240_mtx100x80_nexc80_kdt20_gmax32_smax99_dur4p92.wav</v>
      </c>
      <c r="G6" s="39" t="str">
        <f>IF(_xlfn.XLOOKUP(Table1[[#This Row],[CV3 - Scan Mode]],'recon links'!A:A,'recon links'!B:B)=0,"",_xlfn.XLOOKUP(Table1[[#This Row],[CV3 - Scan Mode]],'recon links'!A:A,'recon links'!B:B))</f>
        <v>/export/home/sdc/fidall/bin/recon_cart_interp.py</v>
      </c>
      <c r="H6" s="40">
        <v>80</v>
      </c>
      <c r="I6" s="40">
        <v>1</v>
      </c>
      <c r="J6" s="40" t="str">
        <f>IF(_xlfn.XLOOKUP(Table1[[#This Row],[CV14 - rfpulse]],'rf links'!A:A,'rf links'!E:E)=0,"",_xlfn.XLOOKUP(Table1[[#This Row],[CV14 - rfpulse]],'rf links'!A:A,'rf links'!E:E))</f>
        <v>GE soft pulse</v>
      </c>
      <c r="K6" s="40">
        <v>0</v>
      </c>
      <c r="L6" s="40">
        <v>0</v>
      </c>
      <c r="M6" s="40" t="e">
        <f>IF(_xlfn.XLOOKUP(Table1[[#This Row],[CV20 - vap]],'vap links'!A:A,'vap links'!K:K)=0,"",_xlfn.XLOOKUP(Table1[[#This Row],[CV20 - vap]],'vap links'!A:A,'vap links'!K:K))</f>
        <v>#N/A</v>
      </c>
      <c r="N6" s="40">
        <v>15</v>
      </c>
      <c r="O6" s="40" t="str">
        <f>IF(_xlfn.XLOOKUP(Table1[[#This Row],[cv21 - cv_pars]],'cv_pars links'!A:A,'cv_pars links'!B:B)=0,"",_xlfn.XLOOKUP(Table1[[#This Row],[cv21 - cv_pars]],'cv_pars links'!A:A,'cv_pars links'!B:B))</f>
        <v>../waveforms/cart/cv_pars_spgr.cvs</v>
      </c>
      <c r="P6" s="41"/>
    </row>
    <row r="7" spans="1:16" x14ac:dyDescent="0.25">
      <c r="A7" s="37" t="s">
        <v>146</v>
      </c>
      <c r="B7" s="37">
        <v>30</v>
      </c>
      <c r="C7" s="37">
        <v>2.048</v>
      </c>
      <c r="D7" s="37">
        <v>154</v>
      </c>
      <c r="E7" s="38">
        <v>15</v>
      </c>
      <c r="F7" s="39" t="str">
        <f>IF(_xlfn.XLOOKUP(Table1[[#This Row],[CV3 - Scan Mode]],'ak_grad links'!A:A,'ak_grad links'!B:B)=0,"",_xlfn.XLOOKUP(Table1[[#This Row],[CV3 - Scan Mode]],'ak_grad links'!A:A,'ak_grad links'!B:B))</f>
        <v>cart/cart2D_129Xe_fov300x240_mtx100x80_nexc80_kdt20_gmax32_smax99_dur4p92.wav</v>
      </c>
      <c r="G7" s="39" t="str">
        <f>IF(_xlfn.XLOOKUP(Table1[[#This Row],[CV3 - Scan Mode]],'recon links'!A:A,'recon links'!B:B)=0,"",_xlfn.XLOOKUP(Table1[[#This Row],[CV3 - Scan Mode]],'recon links'!A:A,'recon links'!B:B))</f>
        <v>/export/home/sdc/fidall/bin/recon_cart_interp.py</v>
      </c>
      <c r="H7" s="40">
        <v>80</v>
      </c>
      <c r="I7" s="40">
        <v>1</v>
      </c>
      <c r="J7" s="40" t="str">
        <f>IF(_xlfn.XLOOKUP(Table1[[#This Row],[CV14 - rfpulse]],'rf links'!A:A,'rf links'!E:E)=0,"",_xlfn.XLOOKUP(Table1[[#This Row],[CV14 - rfpulse]],'rf links'!A:A,'rf links'!E:E))</f>
        <v>GE soft pulse</v>
      </c>
      <c r="K7" s="40">
        <v>0</v>
      </c>
      <c r="L7" s="40">
        <v>15</v>
      </c>
      <c r="M7" s="40" t="str">
        <f>IF(_xlfn.XLOOKUP(Table1[[#This Row],[CV20 - vap]],'vap links'!A:A,'vap links'!K:K)=0,"",_xlfn.XLOOKUP(Table1[[#This Row],[CV20 - vap]],'vap links'!A:A,'vap links'!K:K))</f>
        <v>../waveforms/cart/vap_vfa80_30.fdl</v>
      </c>
      <c r="N7" s="40">
        <v>15</v>
      </c>
      <c r="O7" s="40" t="str">
        <f>IF(_xlfn.XLOOKUP(Table1[[#This Row],[cv21 - cv_pars]],'cv_pars links'!A:A,'cv_pars links'!B:B)=0,"",_xlfn.XLOOKUP(Table1[[#This Row],[cv21 - cv_pars]],'cv_pars links'!A:A,'cv_pars links'!B:B))</f>
        <v>../waveforms/cart/cv_pars_spgr.cvs</v>
      </c>
      <c r="P7" s="41"/>
    </row>
    <row r="8" spans="1:16" ht="89.25" x14ac:dyDescent="0.25">
      <c r="A8" s="37" t="s">
        <v>159</v>
      </c>
      <c r="B8" s="37">
        <v>10</v>
      </c>
      <c r="C8" s="37">
        <v>0.35699999999999998</v>
      </c>
      <c r="D8" s="37">
        <v>7.9</v>
      </c>
      <c r="E8" s="38">
        <v>17</v>
      </c>
      <c r="F8" s="39" t="str">
        <f>IF(_xlfn.XLOOKUP(Table1[[#This Row],[CV3 - Scan Mode]],'ak_grad links'!A:A,'ak_grad links'!B:B)=0,"",_xlfn.XLOOKUP(Table1[[#This Row],[CV3 - Scan Mode]],'ak_grad links'!A:A,'ak_grad links'!B:B))</f>
        <v>mrsi/mrsi3D_129Xe_scheme2_3_fov270_240_150_mtx18_16_10_bw20000_npts88_nexc1586_gmax16_smax87_crush2.wav</v>
      </c>
      <c r="G8" s="39" t="str">
        <f>IF(_xlfn.XLOOKUP(Table1[[#This Row],[CV3 - Scan Mode]],'recon links'!A:A,'recon links'!B:B)=0,"",_xlfn.XLOOKUP(Table1[[#This Row],[CV3 - Scan Mode]],'recon links'!A:A,'recon links'!B:B))</f>
        <v>/export/home/sdc/fidall/bin/recon_mrsi_xenon.py</v>
      </c>
      <c r="H8" s="40">
        <v>1586</v>
      </c>
      <c r="I8" s="40">
        <v>17</v>
      </c>
      <c r="J8" s="40" t="str">
        <f>IF(_xlfn.XLOOKUP(Table1[[#This Row],[CV14 - rfpulse]],'rf links'!A:A,'rf links'!E:E)=0,"",_xlfn.XLOOKUP(Table1[[#This Row],[CV14 - rfpulse]],'rf links'!A:A,'rf links'!E:E))</f>
        <v>/export/home/sdc/fidall/waveforms/rffiles/exrf_freq_flip40_t0p6_ref0p5_b1max11p855_bw1000.rho
../waveforms/rffiles/exrf_freq_flip40_t0p6_ref0p5_b1max11p855_bw1000.cvs</v>
      </c>
      <c r="K8" s="40">
        <v>0</v>
      </c>
      <c r="L8" s="40">
        <v>17</v>
      </c>
      <c r="M8" s="40" t="str">
        <f>IF(_xlfn.XLOOKUP(Table1[[#This Row],[CV20 - vap]],'vap links'!A:A,'vap links'!K:K)=0,"",_xlfn.XLOOKUP(Table1[[#This Row],[CV20 - vap]],'vap links'!A:A,'vap links'!K:K))</f>
        <v>../waveforms/mrsi/mrsi3D_129Xe_scheme2_3_fov270_240_150_mtx18_16_10_bw20000_npts88_nexc1586_gmax16_smax87_crush2_agx.fdl
../waveforms/mrsi/mrsi3D_129Xe_scheme2_3_fov270_240_150_mtx18_16_10_bw20000_npts88_nexc1586_gmax16_smax87_crush2_agy.fdl
../waveforms/mrsi/mrsi3D_129Xe_scheme2_3_fov270_240_150_mtx18_16_10_bw20000_npts88_nexc1586_gmax16_smax87_crush2_agz.fdl
../waveforms/mrsi/vap_flip_10deg.fdl</v>
      </c>
      <c r="N8" s="40">
        <v>17</v>
      </c>
      <c r="O8" s="40" t="str">
        <f>IF(_xlfn.XLOOKUP(Table1[[#This Row],[cv21 - cv_pars]],'cv_pars links'!A:A,'cv_pars links'!B:B)=0,"",_xlfn.XLOOKUP(Table1[[#This Row],[cv21 - cv_pars]],'cv_pars links'!A:A,'cv_pars links'!B:B))</f>
        <v>../waveforms/mrsi/cv_pars_mrsi_xenon.cvs</v>
      </c>
      <c r="P8" s="41"/>
    </row>
    <row r="9" spans="1:16" x14ac:dyDescent="0.25">
      <c r="A9" s="36" t="s">
        <v>120</v>
      </c>
      <c r="B9" s="37">
        <v>90</v>
      </c>
      <c r="C9" s="37">
        <v>2.8919999999999999</v>
      </c>
      <c r="D9" s="37">
        <v>1000</v>
      </c>
      <c r="E9" s="38">
        <v>27</v>
      </c>
      <c r="F9" s="39" t="str">
        <f>IF(_xlfn.XLOOKUP(Table1[[#This Row],[CV3 - Scan Mode]],'ak_grad links'!A:A,'ak_grad links'!B:B)=0,"",_xlfn.XLOOKUP(Table1[[#This Row],[CV3 - Scan Mode]],'ak_grad links'!A:A,'ak_grad links'!B:B))</f>
        <v>grad_noise/grad_noise_spiral_13C_fov300_ksamp2_gmax30_smax119_dur27p1.wav</v>
      </c>
      <c r="G9" s="39" t="str">
        <f>IF(_xlfn.XLOOKUP(Table1[[#This Row],[CV3 - Scan Mode]],'recon links'!A:A,'recon links'!B:B)=0,"",_xlfn.XLOOKUP(Table1[[#This Row],[CV3 - Scan Mode]],'recon links'!A:A,'recon links'!B:B))</f>
        <v>/export/home/sdc/fidall/bin/characterise_grad_noise.py</v>
      </c>
      <c r="H9" s="40">
        <v>20</v>
      </c>
      <c r="I9" s="40">
        <v>1</v>
      </c>
      <c r="J9" s="40" t="str">
        <f>IF(_xlfn.XLOOKUP(Table1[[#This Row],[CV14 - rfpulse]],'rf links'!A:A,'rf links'!E:E)=0,"",_xlfn.XLOOKUP(Table1[[#This Row],[CV14 - rfpulse]],'rf links'!A:A,'rf links'!E:E))</f>
        <v>GE soft pulse</v>
      </c>
      <c r="K9" s="40">
        <v>0</v>
      </c>
      <c r="L9" s="40">
        <v>27</v>
      </c>
      <c r="M9" s="40" t="str">
        <f>IF(_xlfn.XLOOKUP(Table1[[#This Row],[CV20 - vap]],'vap links'!A:A,'vap links'!K:K)=0,"",_xlfn.XLOOKUP(Table1[[#This Row],[CV20 - vap]],'vap links'!A:A,'vap links'!K:K))</f>
        <v>../waveforms/grad_noise/vap_flip_zero.fdl</v>
      </c>
      <c r="N9" s="40">
        <v>27</v>
      </c>
      <c r="O9" s="40" t="str">
        <f>IF(_xlfn.XLOOKUP(Table1[[#This Row],[cv21 - cv_pars]],'cv_pars links'!A:A,'cv_pars links'!B:B)=0,"",_xlfn.XLOOKUP(Table1[[#This Row],[cv21 - cv_pars]],'cv_pars links'!A:A,'cv_pars links'!B:B))</f>
        <v>../waveforms/grad_noise/cv_pars_noise.cvs</v>
      </c>
      <c r="P9" s="41"/>
    </row>
    <row r="10" spans="1:16" ht="25.5" x14ac:dyDescent="0.25">
      <c r="A10" s="37" t="s">
        <v>143</v>
      </c>
      <c r="B10" s="37">
        <v>20</v>
      </c>
      <c r="C10" s="37">
        <v>0.38400000000000001</v>
      </c>
      <c r="D10" s="37">
        <v>15</v>
      </c>
      <c r="E10" s="47">
        <v>30</v>
      </c>
      <c r="F10" s="39" t="str">
        <f>IF(_xlfn.XLOOKUP(Table1[[#This Row],[CV3 - Scan Mode]],'ak_grad links'!A:A,'ak_grad links'!B:B)=0,"",_xlfn.XLOOKUP(Table1[[#This Row],[CV3 - Scan Mode]],'ak_grad links'!A:A,'ak_grad links'!B:B))</f>
        <v/>
      </c>
      <c r="G10" s="39" t="str">
        <f>IF(_xlfn.XLOOKUP(Table1[[#This Row],[CV3 - Scan Mode]],'recon links'!A:A,'recon links'!B:B)=0,"",_xlfn.XLOOKUP(Table1[[#This Row],[CV3 - Scan Mode]],'recon links'!A:A,'recon links'!B:B))</f>
        <v>/export/home/sdc/fidall/bin/recon_calibration_cchmc.py</v>
      </c>
      <c r="H10" s="40">
        <v>520</v>
      </c>
      <c r="I10" s="40">
        <v>30</v>
      </c>
      <c r="J10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10" s="40">
        <v>0</v>
      </c>
      <c r="L10" s="40">
        <v>30</v>
      </c>
      <c r="M10" s="40" t="str">
        <f>IF(_xlfn.XLOOKUP(Table1[[#This Row],[CV20 - vap]],'vap links'!A:A,'vap links'!K:K)=0,"",_xlfn.XLOOKUP(Table1[[#This Row],[CV20 - vap]],'vap links'!A:A,'vap links'!K:K))</f>
        <v>../waveforms/cal/cal_cpir_nexc520_ndiss500_dfreq202_freq.fdl
../waveforms/vap_rf_spoiling/vap_phase_rf_spoiling_262112.fdl</v>
      </c>
      <c r="N10" s="40">
        <v>30</v>
      </c>
      <c r="O10" s="40" t="str">
        <f>IF(_xlfn.XLOOKUP(Table1[[#This Row],[cv21 - cv_pars]],'cv_pars links'!A:A,'cv_pars links'!B:B)=0,"",_xlfn.XLOOKUP(Table1[[#This Row],[cv21 - cv_pars]],'cv_pars links'!A:A,'cv_pars links'!B:B))</f>
        <v>../waveforms/cal/cal_xxx.cvs</v>
      </c>
      <c r="P10" s="53" t="s">
        <v>312</v>
      </c>
    </row>
    <row r="11" spans="1:16" ht="25.5" x14ac:dyDescent="0.25">
      <c r="A11" s="37" t="s">
        <v>144</v>
      </c>
      <c r="B11" s="37">
        <v>20</v>
      </c>
      <c r="C11" s="37">
        <v>0.38400000000000001</v>
      </c>
      <c r="D11" s="37">
        <v>15</v>
      </c>
      <c r="E11" s="47">
        <v>31</v>
      </c>
      <c r="F11" s="39" t="str">
        <f>IF(_xlfn.XLOOKUP(Table1[[#This Row],[CV3 - Scan Mode]],'ak_grad links'!A:A,'ak_grad links'!B:B)=0,"",_xlfn.XLOOKUP(Table1[[#This Row],[CV3 - Scan Mode]],'ak_grad links'!A:A,'ak_grad links'!B:B))</f>
        <v/>
      </c>
      <c r="G11" s="39" t="str">
        <f>IF(_xlfn.XLOOKUP(Table1[[#This Row],[CV3 - Scan Mode]],'recon links'!A:A,'recon links'!B:B)=0,"",_xlfn.XLOOKUP(Table1[[#This Row],[CV3 - Scan Mode]],'recon links'!A:A,'recon links'!B:B))</f>
        <v>/export/home/sdc/fidall/bin/recon_calibration_cchmc.py</v>
      </c>
      <c r="H11" s="40">
        <v>520</v>
      </c>
      <c r="I11" s="40">
        <v>31</v>
      </c>
      <c r="J11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11" s="40">
        <v>0</v>
      </c>
      <c r="L11" s="40">
        <v>31</v>
      </c>
      <c r="M11" s="40" t="str">
        <f>IF(_xlfn.XLOOKUP(Table1[[#This Row],[CV20 - vap]],'vap links'!A:A,'vap links'!K:K)=0,"",_xlfn.XLOOKUP(Table1[[#This Row],[CV20 - vap]],'vap links'!A:A,'vap links'!K:K))</f>
        <v>../waveforms/cal/cal_xectc_nexc520_ndiss500_dfreq218_freq.fdl
../waveforms/vap_rf_spoiling/vap_phase_rf_spoiling_262112.fdl</v>
      </c>
      <c r="N11" s="40">
        <v>31</v>
      </c>
      <c r="O11" s="40" t="str">
        <f>IF(_xlfn.XLOOKUP(Table1[[#This Row],[cv21 - cv_pars]],'cv_pars links'!A:A,'cv_pars links'!B:B)=0,"",_xlfn.XLOOKUP(Table1[[#This Row],[cv21 - cv_pars]],'cv_pars links'!A:A,'cv_pars links'!B:B))</f>
        <v>../waveforms/cal/cal_xxx.cvs</v>
      </c>
      <c r="P11" s="37" t="s">
        <v>267</v>
      </c>
    </row>
    <row r="12" spans="1:16" ht="25.5" x14ac:dyDescent="0.25">
      <c r="A12" s="37" t="s">
        <v>187</v>
      </c>
      <c r="B12" s="37">
        <v>5.5</v>
      </c>
      <c r="C12" s="37">
        <v>1.776</v>
      </c>
      <c r="D12" s="37">
        <v>40.6</v>
      </c>
      <c r="E12" s="38">
        <v>35</v>
      </c>
      <c r="F12" s="39" t="str">
        <f>IF(_xlfn.XLOOKUP(Table1[[#This Row],[CV3 - Scan Mode]],'ak_grad links'!A:A,'ak_grad links'!B:B)=0,"",_xlfn.XLOOKUP(Table1[[#This Row],[CV3 - Scan Mode]],'ak_grad links'!A:A,'ak_grad links'!B:B))</f>
        <v>diff_cpir_2dCart4bs/diffcart2D_129Xe_fov400_mtx80_nexc320_kdt52_gmax29_smax98_dur14p9_co.wav</v>
      </c>
      <c r="G12" s="39" t="str">
        <f>IF(_xlfn.XLOOKUP(Table1[[#This Row],[CV3 - Scan Mode]],'recon links'!A:A,'recon links'!B:B)=0,"",_xlfn.XLOOKUP(Table1[[#This Row],[CV3 - Scan Mode]],'recon links'!A:A,'recon links'!B:B))</f>
        <v>/export/home/sdc/fidall/bin/recon_diffusion.py</v>
      </c>
      <c r="H12" s="40">
        <v>320</v>
      </c>
      <c r="I12" s="40">
        <v>1</v>
      </c>
      <c r="J12" s="40" t="str">
        <f>IF(_xlfn.XLOOKUP(Table1[[#This Row],[CV14 - rfpulse]],'rf links'!A:A,'rf links'!E:E)=0,"",_xlfn.XLOOKUP(Table1[[#This Row],[CV14 - rfpulse]],'rf links'!A:A,'rf links'!E:E))</f>
        <v>GE soft pulse</v>
      </c>
      <c r="K12" s="40">
        <v>0</v>
      </c>
      <c r="L12" s="40">
        <v>35</v>
      </c>
      <c r="M12" s="40" t="str">
        <f>IF(_xlfn.XLOOKUP(Table1[[#This Row],[CV20 - vap]],'vap links'!A:A,'vap links'!K:K)=0,"",_xlfn.XLOOKUP(Table1[[#This Row],[CV20 - vap]],'vap links'!A:A,'vap links'!K:K))</f>
        <v>../waveforms/vap_rf_spoiling/vap_phase_rf_spoiling_262112.fdl</v>
      </c>
      <c r="N12" s="40">
        <v>35</v>
      </c>
      <c r="O12" s="40" t="str">
        <f>IF(_xlfn.XLOOKUP(Table1[[#This Row],[cv21 - cv_pars]],'cv_pars links'!A:A,'cv_pars links'!B:B)=0,"",_xlfn.XLOOKUP(Table1[[#This Row],[cv21 - cv_pars]],'cv_pars links'!A:A,'cv_pars links'!B:B))</f>
        <v>../waveforms/diff_cpir_2dCart4bs/diff_cpir_2dCart4bs.cvs</v>
      </c>
      <c r="P12" s="41"/>
    </row>
    <row r="13" spans="1:16" x14ac:dyDescent="0.25">
      <c r="A13" s="37" t="s">
        <v>188</v>
      </c>
      <c r="B13" s="37">
        <v>5.8</v>
      </c>
      <c r="C13" s="37">
        <v>1.776</v>
      </c>
      <c r="D13" s="37">
        <v>40.6</v>
      </c>
      <c r="E13" s="38">
        <v>36</v>
      </c>
      <c r="F13" s="39" t="str">
        <f>IF(_xlfn.XLOOKUP(Table1[[#This Row],[CV3 - Scan Mode]],'ak_grad links'!A:A,'ak_grad links'!B:B)=0,"",_xlfn.XLOOKUP(Table1[[#This Row],[CV3 - Scan Mode]],'ak_grad links'!A:A,'ak_grad links'!B:B))</f>
        <v>diff_cpir_2dCart4bs/diffcart2D_129Xe_fov350_mtx70_nexc280_kdt52_gmax29_smax98_dur14p3_co.wav</v>
      </c>
      <c r="G13" s="39" t="str">
        <f>IF(_xlfn.XLOOKUP(Table1[[#This Row],[CV3 - Scan Mode]],'recon links'!A:A,'recon links'!B:B)=0,"",_xlfn.XLOOKUP(Table1[[#This Row],[CV3 - Scan Mode]],'recon links'!A:A,'recon links'!B:B))</f>
        <v>/export/home/sdc/fidall/bin/recon_diffusion.py</v>
      </c>
      <c r="H13" s="40">
        <v>280</v>
      </c>
      <c r="I13" s="40">
        <v>1</v>
      </c>
      <c r="J13" s="40" t="str">
        <f>IF(_xlfn.XLOOKUP(Table1[[#This Row],[CV14 - rfpulse]],'rf links'!A:A,'rf links'!E:E)=0,"",_xlfn.XLOOKUP(Table1[[#This Row],[CV14 - rfpulse]],'rf links'!A:A,'rf links'!E:E))</f>
        <v>GE soft pulse</v>
      </c>
      <c r="K13" s="40">
        <v>0</v>
      </c>
      <c r="L13" s="40">
        <v>36</v>
      </c>
      <c r="M13" s="40" t="str">
        <f>IF(_xlfn.XLOOKUP(Table1[[#This Row],[CV20 - vap]],'vap links'!A:A,'vap links'!K:K)=0,"",_xlfn.XLOOKUP(Table1[[#This Row],[CV20 - vap]],'vap links'!A:A,'vap links'!K:K))</f>
        <v>../waveforms/vap_rf_spoiling/vap_phase_rf_spoiling_262112.fdl</v>
      </c>
      <c r="N13" s="40">
        <v>36</v>
      </c>
      <c r="O13" s="40" t="str">
        <f>IF(_xlfn.XLOOKUP(Table1[[#This Row],[cv21 - cv_pars]],'cv_pars links'!A:A,'cv_pars links'!B:B)=0,"",_xlfn.XLOOKUP(Table1[[#This Row],[cv21 - cv_pars]],'cv_pars links'!A:A,'cv_pars links'!B:B))</f>
        <v>../waveforms/diff_cpir_2dCart4bs/diff_cpir_2dCart4bs.cvs</v>
      </c>
      <c r="P13" s="41"/>
    </row>
    <row r="14" spans="1:16" x14ac:dyDescent="0.25">
      <c r="A14" s="37" t="s">
        <v>189</v>
      </c>
      <c r="B14" s="37">
        <v>6.2</v>
      </c>
      <c r="C14" s="37">
        <v>1.776</v>
      </c>
      <c r="D14" s="37">
        <v>60.9</v>
      </c>
      <c r="E14" s="38">
        <v>37</v>
      </c>
      <c r="F14" s="39" t="str">
        <f>IF(_xlfn.XLOOKUP(Table1[[#This Row],[CV3 - Scan Mode]],'ak_grad links'!A:A,'ak_grad links'!B:B)=0,"",_xlfn.XLOOKUP(Table1[[#This Row],[CV3 - Scan Mode]],'ak_grad links'!A:A,'ak_grad links'!B:B))</f>
        <v>diff_cpir_2dCart4bs/diffcart2D_129Xe_fov300_mtx60_nexc240_kdt52_gmax29_smax98_dur13p8_co.wav</v>
      </c>
      <c r="G14" s="39" t="str">
        <f>IF(_xlfn.XLOOKUP(Table1[[#This Row],[CV3 - Scan Mode]],'recon links'!A:A,'recon links'!B:B)=0,"",_xlfn.XLOOKUP(Table1[[#This Row],[CV3 - Scan Mode]],'recon links'!A:A,'recon links'!B:B))</f>
        <v>/export/home/sdc/fidall/bin/recon_diffusion.py</v>
      </c>
      <c r="H14" s="40">
        <v>240</v>
      </c>
      <c r="I14" s="40">
        <v>1</v>
      </c>
      <c r="J14" s="40" t="str">
        <f>IF(_xlfn.XLOOKUP(Table1[[#This Row],[CV14 - rfpulse]],'rf links'!A:A,'rf links'!E:E)=0,"",_xlfn.XLOOKUP(Table1[[#This Row],[CV14 - rfpulse]],'rf links'!A:A,'rf links'!E:E))</f>
        <v>GE soft pulse</v>
      </c>
      <c r="K14" s="40">
        <v>0</v>
      </c>
      <c r="L14" s="40">
        <v>37</v>
      </c>
      <c r="M14" s="40" t="str">
        <f>IF(_xlfn.XLOOKUP(Table1[[#This Row],[CV20 - vap]],'vap links'!A:A,'vap links'!K:K)=0,"",_xlfn.XLOOKUP(Table1[[#This Row],[CV20 - vap]],'vap links'!A:A,'vap links'!K:K))</f>
        <v>../waveforms/vap_rf_spoiling/vap_phase_rf_spoiling_262112.fdl</v>
      </c>
      <c r="N14" s="40">
        <v>37</v>
      </c>
      <c r="O14" s="40" t="str">
        <f>IF(_xlfn.XLOOKUP(Table1[[#This Row],[cv21 - cv_pars]],'cv_pars links'!A:A,'cv_pars links'!B:B)=0,"",_xlfn.XLOOKUP(Table1[[#This Row],[cv21 - cv_pars]],'cv_pars links'!A:A,'cv_pars links'!B:B))</f>
        <v>../waveforms/diff_cpir_2dCart4bs/diff_cpir_2dCart4bs.cvs</v>
      </c>
      <c r="P14" s="41"/>
    </row>
    <row r="15" spans="1:16" x14ac:dyDescent="0.25">
      <c r="A15" s="37" t="s">
        <v>190</v>
      </c>
      <c r="B15" s="37">
        <v>6.8</v>
      </c>
      <c r="C15" s="37">
        <v>1.776</v>
      </c>
      <c r="D15" s="37">
        <v>81.2</v>
      </c>
      <c r="E15" s="38">
        <v>38</v>
      </c>
      <c r="F15" s="39" t="str">
        <f>IF(_xlfn.XLOOKUP(Table1[[#This Row],[CV3 - Scan Mode]],'ak_grad links'!A:A,'ak_grad links'!B:B)=0,"",_xlfn.XLOOKUP(Table1[[#This Row],[CV3 - Scan Mode]],'ak_grad links'!A:A,'ak_grad links'!B:B))</f>
        <v>diff_cpir_2dCart4bs/diffcart2D_129Xe_fov250_mtx50_nexc200_kdt52_gmax29_smax98_dur13p4_co.wav</v>
      </c>
      <c r="G15" s="39" t="str">
        <f>IF(_xlfn.XLOOKUP(Table1[[#This Row],[CV3 - Scan Mode]],'recon links'!A:A,'recon links'!B:B)=0,"",_xlfn.XLOOKUP(Table1[[#This Row],[CV3 - Scan Mode]],'recon links'!A:A,'recon links'!B:B))</f>
        <v>/export/home/sdc/fidall/bin/recon_diffusion.py</v>
      </c>
      <c r="H15" s="40">
        <v>200</v>
      </c>
      <c r="I15" s="40">
        <v>1</v>
      </c>
      <c r="J15" s="40" t="str">
        <f>IF(_xlfn.XLOOKUP(Table1[[#This Row],[CV14 - rfpulse]],'rf links'!A:A,'rf links'!E:E)=0,"",_xlfn.XLOOKUP(Table1[[#This Row],[CV14 - rfpulse]],'rf links'!A:A,'rf links'!E:E))</f>
        <v>GE soft pulse</v>
      </c>
      <c r="K15" s="40">
        <v>0</v>
      </c>
      <c r="L15" s="40">
        <v>38</v>
      </c>
      <c r="M15" s="40" t="str">
        <f>IF(_xlfn.XLOOKUP(Table1[[#This Row],[CV20 - vap]],'vap links'!A:A,'vap links'!K:K)=0,"",_xlfn.XLOOKUP(Table1[[#This Row],[CV20 - vap]],'vap links'!A:A,'vap links'!K:K))</f>
        <v>../waveforms/vap_rf_spoiling/vap_phase_rf_spoiling_262112.fdl</v>
      </c>
      <c r="N15" s="40">
        <v>38</v>
      </c>
      <c r="O15" s="40" t="str">
        <f>IF(_xlfn.XLOOKUP(Table1[[#This Row],[cv21 - cv_pars]],'cv_pars links'!A:A,'cv_pars links'!B:B)=0,"",_xlfn.XLOOKUP(Table1[[#This Row],[cv21 - cv_pars]],'cv_pars links'!A:A,'cv_pars links'!B:B))</f>
        <v>../waveforms/diff_cpir_2dCart4bs/diff_cpir_2dCart4bs.cvs</v>
      </c>
      <c r="P15" s="41"/>
    </row>
    <row r="16" spans="1:16" x14ac:dyDescent="0.25">
      <c r="A16" s="37" t="s">
        <v>191</v>
      </c>
      <c r="B16" s="37">
        <v>7.4</v>
      </c>
      <c r="C16" s="37">
        <v>1.776</v>
      </c>
      <c r="D16" s="37">
        <v>93.2</v>
      </c>
      <c r="E16" s="38">
        <v>39</v>
      </c>
      <c r="F16" s="39" t="str">
        <f>IF(_xlfn.XLOOKUP(Table1[[#This Row],[CV3 - Scan Mode]],'ak_grad links'!A:A,'ak_grad links'!B:B)=0,"",_xlfn.XLOOKUP(Table1[[#This Row],[CV3 - Scan Mode]],'ak_grad links'!A:A,'ak_grad links'!B:B))</f>
        <v>diff_cpir_2dCart4bs/diffcart2D_129Xe_fov200_mtx40_nexc160_kdt52_gmax29_smax98_dur12p9_co.wav</v>
      </c>
      <c r="G16" s="39" t="str">
        <f>IF(_xlfn.XLOOKUP(Table1[[#This Row],[CV3 - Scan Mode]],'recon links'!A:A,'recon links'!B:B)=0,"",_xlfn.XLOOKUP(Table1[[#This Row],[CV3 - Scan Mode]],'recon links'!A:A,'recon links'!B:B))</f>
        <v>/export/home/sdc/fidall/bin/recon_diffusion.py</v>
      </c>
      <c r="H16" s="40">
        <v>160</v>
      </c>
      <c r="I16" s="40">
        <v>1</v>
      </c>
      <c r="J16" s="40" t="str">
        <f>IF(_xlfn.XLOOKUP(Table1[[#This Row],[CV14 - rfpulse]],'rf links'!A:A,'rf links'!E:E)=0,"",_xlfn.XLOOKUP(Table1[[#This Row],[CV14 - rfpulse]],'rf links'!A:A,'rf links'!E:E))</f>
        <v>GE soft pulse</v>
      </c>
      <c r="K16" s="40">
        <v>0</v>
      </c>
      <c r="L16" s="40">
        <v>39</v>
      </c>
      <c r="M16" s="40" t="str">
        <f>IF(_xlfn.XLOOKUP(Table1[[#This Row],[CV20 - vap]],'vap links'!A:A,'vap links'!K:K)=0,"",_xlfn.XLOOKUP(Table1[[#This Row],[CV20 - vap]],'vap links'!A:A,'vap links'!K:K))</f>
        <v>../waveforms/vap_rf_spoiling/vap_phase_rf_spoiling_262112.fdl</v>
      </c>
      <c r="N16" s="40">
        <v>39</v>
      </c>
      <c r="O16" s="40" t="str">
        <f>IF(_xlfn.XLOOKUP(Table1[[#This Row],[cv21 - cv_pars]],'cv_pars links'!A:A,'cv_pars links'!B:B)=0,"",_xlfn.XLOOKUP(Table1[[#This Row],[cv21 - cv_pars]],'cv_pars links'!A:A,'cv_pars links'!B:B))</f>
        <v>../waveforms/diff_cpir_2dCart4bs/diff_cpir_2dCart4bs.cvs</v>
      </c>
      <c r="P16" s="41"/>
    </row>
    <row r="17" spans="1:16" ht="63.75" x14ac:dyDescent="0.25">
      <c r="A17" s="37" t="s">
        <v>153</v>
      </c>
      <c r="B17" s="37">
        <v>20</v>
      </c>
      <c r="C17" s="37">
        <v>0.38300000000000001</v>
      </c>
      <c r="D17" s="37">
        <v>7.5</v>
      </c>
      <c r="E17" s="38">
        <v>40</v>
      </c>
      <c r="F17" s="39" t="str">
        <f>IF(_xlfn.XLOOKUP(Table1[[#This Row],[CV3 - Scan Mode]],'ak_grad links'!A:A,'ak_grad links'!B:B)=0,"",_xlfn.XLOOKUP(Table1[[#This Row],[CV3 - Scan Mode]],'ak_grad links'!A:A,'ak_grad links'!B:B))</f>
        <v>gx_cpir_1ptDixon/interleaved_radial3D_129xe_fov325_mtx56_intlv2002_kdt18_gmax37_smax144_dur1p6_coca_rew2_1p25_GA5.wav</v>
      </c>
      <c r="G17" s="39" t="str">
        <f>IF(_xlfn.XLOOKUP(Table1[[#This Row],[CV3 - Scan Mode]],'recon links'!A:A,'recon links'!B:B)=0,"",_xlfn.XLOOKUP(Table1[[#This Row],[CV3 - Scan Mode]],'recon links'!A:A,'recon links'!B:B))</f>
        <v>/export/home/sdc/fidall/bin/recon_grid3d_gx.py</v>
      </c>
      <c r="H17" s="40">
        <v>2002</v>
      </c>
      <c r="I17" s="40">
        <v>40</v>
      </c>
      <c r="J17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17" s="40">
        <v>0</v>
      </c>
      <c r="L17" s="40">
        <v>40</v>
      </c>
      <c r="M17" s="40" t="str">
        <f>IF(_xlfn.XLOOKUP(Table1[[#This Row],[CV20 - vap]],'vap links'!A:A,'vap links'!K:K)=0,"",_xlfn.XLOOKUP(Table1[[#This Row],[CV20 - vap]],'vap links'!A:A,'vap links'!K:K))</f>
        <v>../waveforms/gx_cpir_1ptDixon/interleaved_radial3D_129xe_fov325_mtx56_intlv2002_kdt18_gmax37_smax144_dur1p6_coca_rew2_1p25_GA5_flip.fdl
../waveforms/gx_cpir_1ptDixon/interleaved_radial3D_129xe_fov325_mtx56_intlv2002_kdt18_gmax37_smax144_dur1p6_coca_rew2_1p25_GA5_freq.fdl
../waveforms/gx_cpir_1ptDixon/vap_phase_rf_spoiling_262112.fdl</v>
      </c>
      <c r="N17" s="40">
        <v>40</v>
      </c>
      <c r="O17" s="40" t="str">
        <f>IF(_xlfn.XLOOKUP(Table1[[#This Row],[cv21 - cv_pars]],'cv_pars links'!A:A,'cv_pars links'!B:B)=0,"",_xlfn.XLOOKUP(Table1[[#This Row],[cv21 - cv_pars]],'cv_pars links'!A:A,'cv_pars links'!B:B))</f>
        <v>../waveforms/gx_cpir_1ptDixon/gx_cpir_1ptDixon.cvs</v>
      </c>
      <c r="P17" s="54" t="s">
        <v>313</v>
      </c>
    </row>
    <row r="18" spans="1:16" ht="51" x14ac:dyDescent="0.25">
      <c r="A18" s="37" t="s">
        <v>154</v>
      </c>
      <c r="B18" s="37">
        <v>10</v>
      </c>
      <c r="C18" s="37">
        <v>0.45500000000000002</v>
      </c>
      <c r="D18" s="37">
        <v>2.8</v>
      </c>
      <c r="E18" s="38">
        <v>41</v>
      </c>
      <c r="F18" s="39" t="str">
        <f>IF(_xlfn.XLOOKUP(Table1[[#This Row],[CV3 - Scan Mode]],'ak_grad links'!A:A,'ak_grad links'!B:B)=0,"",_xlfn.XLOOKUP(Table1[[#This Row],[CV3 - Scan Mode]],'ak_grad links'!A:A,'ak_grad links'!B:B))</f>
        <v>gx_cpir_1ptDixon/radial3D_1h_fov325_mtx56_intlv5000_kdt18_gmax19_smax141_dur1p4_coca_rew2_1p25_GA5.wav</v>
      </c>
      <c r="G18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18" s="40">
        <v>5000</v>
      </c>
      <c r="I18" s="40">
        <v>0</v>
      </c>
      <c r="J18" s="40" t="str">
        <f>IF(_xlfn.XLOOKUP(Table1[[#This Row],[CV14 - rfpulse]],'rf links'!A:A,'rf links'!E:E)=0,"",_xlfn.XLOOKUP(Table1[[#This Row],[CV14 - rfpulse]],'rf links'!A:A,'rf links'!E:E))</f>
        <v>GE hard pulse</v>
      </c>
      <c r="K18" s="40">
        <v>0</v>
      </c>
      <c r="L18" s="40">
        <v>41</v>
      </c>
      <c r="M18" s="40" t="str">
        <f>IF(_xlfn.XLOOKUP(Table1[[#This Row],[CV20 - vap]],'vap links'!A:A,'vap links'!K:K)=0,"",_xlfn.XLOOKUP(Table1[[#This Row],[CV20 - vap]],'vap links'!A:A,'vap links'!K:K))</f>
        <v>../waveforms/gx_cpir_1ptDixon/vap_phase_rf_spoiling_262112.fdl
../waveforms/gx_cpir_1ptDixon/radial3D_1h_fov325_mtx56_intlv5000_kdt18_gmax19_smax141_dur1p4_coca_rew2_1p25_GA5_phi.fdl
../waveforms/gx_cpir_1ptDixon/radial3D_1h_fov325_mtx56_intlv5000_kdt18_gmax19_smax141_dur1p4_coca_rew2_1p25_GA5_theta.fdl</v>
      </c>
      <c r="N18" s="40">
        <v>41</v>
      </c>
      <c r="O18" s="40" t="str">
        <f>IF(_xlfn.XLOOKUP(Table1[[#This Row],[cv21 - cv_pars]],'cv_pars links'!A:A,'cv_pars links'!B:B)=0,"",_xlfn.XLOOKUP(Table1[[#This Row],[cv21 - cv_pars]],'cv_pars links'!A:A,'cv_pars links'!B:B))</f>
        <v>../waveforms/gx_cpir_1ptDixon/anatgx_cpir_1ptDixon.cvs</v>
      </c>
      <c r="P18" s="41"/>
    </row>
    <row r="19" spans="1:16" x14ac:dyDescent="0.25">
      <c r="A19" s="37" t="s">
        <v>211</v>
      </c>
      <c r="B19" s="37">
        <v>3.9</v>
      </c>
      <c r="C19" s="37">
        <v>0.33300000000000002</v>
      </c>
      <c r="D19" s="37">
        <v>19</v>
      </c>
      <c r="E19" s="38">
        <v>42</v>
      </c>
      <c r="F19" s="39" t="str">
        <f>IF(_xlfn.XLOOKUP(Table1[[#This Row],[CV3 - Scan Mode]],'ak_grad links'!A:A,'ak_grad links'!B:B)=0,"",_xlfn.XLOOKUP(Table1[[#This Row],[CV3 - Scan Mode]],'ak_grad links'!A:A,'ak_grad links'!B:B))</f>
        <v>vent_cpir_floret/floret_x005F_xe129_fov375_mtx97_arms7p1_hub3_0p4_intlv1312_bonus10_kdt8_gmax21_smax139_dur7p7_M21.wav</v>
      </c>
      <c r="G19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19" s="40">
        <v>928</v>
      </c>
      <c r="I19" s="40">
        <v>0</v>
      </c>
      <c r="J19" s="40" t="str">
        <f>IF(_xlfn.XLOOKUP(Table1[[#This Row],[CV14 - rfpulse]],'rf links'!A:A,'rf links'!E:E)=0,"",_xlfn.XLOOKUP(Table1[[#This Row],[CV14 - rfpulse]],'rf links'!A:A,'rf links'!E:E))</f>
        <v>GE hard pulse</v>
      </c>
      <c r="K19" s="40">
        <v>0</v>
      </c>
      <c r="L19" s="40">
        <v>42</v>
      </c>
      <c r="M19" s="40" t="str">
        <f>IF(_xlfn.XLOOKUP(Table1[[#This Row],[CV20 - vap]],'vap links'!A:A,'vap links'!K:K)=0,"",_xlfn.XLOOKUP(Table1[[#This Row],[CV20 - vap]],'vap links'!A:A,'vap links'!K:K))</f>
        <v>../waveforms/vent_cpir_floret/vap_phase_rf_spoiling_262112.fdl</v>
      </c>
      <c r="N19" s="40">
        <v>42</v>
      </c>
      <c r="O19" s="40" t="str">
        <f>IF(_xlfn.XLOOKUP(Table1[[#This Row],[cv21 - cv_pars]],'cv_pars links'!A:A,'cv_pars links'!B:B)=0,"",_xlfn.XLOOKUP(Table1[[#This Row],[cv21 - cv_pars]],'cv_pars links'!A:A,'cv_pars links'!B:B))</f>
        <v>../waveforms/vent_cpir_floret/vent_cpir_floret.cvs</v>
      </c>
      <c r="P19" s="41" t="s">
        <v>311</v>
      </c>
    </row>
    <row r="20" spans="1:16" x14ac:dyDescent="0.25">
      <c r="A20" s="37" t="s">
        <v>212</v>
      </c>
      <c r="B20" s="37">
        <v>5</v>
      </c>
      <c r="C20" s="37">
        <v>0.33300000000000002</v>
      </c>
      <c r="D20" s="37">
        <v>2.9</v>
      </c>
      <c r="E20" s="38">
        <v>43</v>
      </c>
      <c r="F20" s="39" t="str">
        <f>IF(_xlfn.XLOOKUP(Table1[[#This Row],[CV3 - Scan Mode]],'ak_grad links'!A:A,'ak_grad links'!B:B)=0,"",_xlfn.XLOOKUP(Table1[[#This Row],[CV3 - Scan Mode]],'ak_grad links'!A:A,'ak_grad links'!B:B))</f>
        <v>vent_cpir_floret/floret_h1_fov375_mtx97_arms12p6_hub3_0p4_intlv2304_bonus0_kdt2_gmax21_smax148_dur1p6_M8.wav</v>
      </c>
      <c r="G20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20" s="40">
        <v>2304</v>
      </c>
      <c r="I20" s="40">
        <v>0</v>
      </c>
      <c r="J20" s="40" t="str">
        <f>IF(_xlfn.XLOOKUP(Table1[[#This Row],[CV14 - rfpulse]],'rf links'!A:A,'rf links'!E:E)=0,"",_xlfn.XLOOKUP(Table1[[#This Row],[CV14 - rfpulse]],'rf links'!A:A,'rf links'!E:E))</f>
        <v>GE hard pulse</v>
      </c>
      <c r="K20" s="40">
        <v>0</v>
      </c>
      <c r="L20" s="40">
        <v>43</v>
      </c>
      <c r="M20" s="40" t="str">
        <f>IF(_xlfn.XLOOKUP(Table1[[#This Row],[CV20 - vap]],'vap links'!A:A,'vap links'!K:K)=0,"",_xlfn.XLOOKUP(Table1[[#This Row],[CV20 - vap]],'vap links'!A:A,'vap links'!K:K))</f>
        <v>../waveforms/vent_cpir_floret/vap_phase_rf_spoiling_262112.fdl</v>
      </c>
      <c r="N20" s="40">
        <v>43</v>
      </c>
      <c r="O20" s="40" t="str">
        <f>IF(_xlfn.XLOOKUP(Table1[[#This Row],[cv21 - cv_pars]],'cv_pars links'!A:A,'cv_pars links'!B:B)=0,"",_xlfn.XLOOKUP(Table1[[#This Row],[cv21 - cv_pars]],'cv_pars links'!A:A,'cv_pars links'!B:B))</f>
        <v>../waveforms/vent_cpir_floret/vent_cpir_floret.cvs</v>
      </c>
      <c r="P20" s="41"/>
    </row>
    <row r="21" spans="1:16" ht="25.5" x14ac:dyDescent="0.25">
      <c r="A21" s="37" t="s">
        <v>182</v>
      </c>
      <c r="B21" s="37">
        <v>20</v>
      </c>
      <c r="C21" s="37">
        <v>0.38300000000000001</v>
      </c>
      <c r="D21" s="37">
        <v>15</v>
      </c>
      <c r="E21" s="47">
        <v>52</v>
      </c>
      <c r="F21" s="39" t="str">
        <f>IF(_xlfn.XLOOKUP(Table1[[#This Row],[CV3 - Scan Mode]],'ak_grad links'!A:A,'ak_grad links'!B:B)=0,"",_xlfn.XLOOKUP(Table1[[#This Row],[CV3 - Scan Mode]],'ak_grad links'!A:A,'ak_grad links'!B:B))</f>
        <v/>
      </c>
      <c r="G21" s="39" t="str">
        <f>IF(_xlfn.XLOOKUP(Table1[[#This Row],[CV3 - Scan Mode]],'recon links'!A:A,'recon links'!B:B)=0,"",_xlfn.XLOOKUP(Table1[[#This Row],[CV3 - Scan Mode]],'recon links'!A:A,'recon links'!B:B))</f>
        <v>/export/home/sdc/fidall/bin/recon_calibration_cchmc.py</v>
      </c>
      <c r="H21" s="40">
        <v>520</v>
      </c>
      <c r="I21" s="40">
        <v>52</v>
      </c>
      <c r="J21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1" s="40">
        <v>0</v>
      </c>
      <c r="L21" s="40">
        <v>52</v>
      </c>
      <c r="M21" s="40" t="str">
        <f>IF(_xlfn.XLOOKUP(Table1[[#This Row],[CV20 - vap]],'vap links'!A:A,'vap links'!K:K)=0,"",_xlfn.XLOOKUP(Table1[[#This Row],[CV20 - vap]],'vap links'!A:A,'vap links'!K:K))</f>
        <v>../waveforms/cal/cal_xectc_nexc520_ndiss500_dfreq218_freq.fdl
../waveforms/cal/vap_phase_rf_spoiling_262112.fdl</v>
      </c>
      <c r="N21" s="40">
        <v>52</v>
      </c>
      <c r="O21" s="40" t="str">
        <f>IF(_xlfn.XLOOKUP(Table1[[#This Row],[cv21 - cv_pars]],'cv_pars links'!A:A,'cv_pars links'!B:B)=0,"",_xlfn.XLOOKUP(Table1[[#This Row],[cv21 - cv_pars]],'cv_pars links'!A:A,'cv_pars links'!B:B))</f>
        <v>../waveforms/cal/cal_xxx.cvs</v>
      </c>
      <c r="P21" s="41" t="s">
        <v>267</v>
      </c>
    </row>
    <row r="22" spans="1:16" ht="63.75" x14ac:dyDescent="0.25">
      <c r="A22" s="37" t="s">
        <v>185</v>
      </c>
      <c r="B22" s="37">
        <v>15</v>
      </c>
      <c r="C22" s="37">
        <v>0.38300000000000001</v>
      </c>
      <c r="D22" s="37">
        <v>4.2</v>
      </c>
      <c r="E22" s="38">
        <v>53</v>
      </c>
      <c r="F22" s="39" t="str">
        <f>IF(_xlfn.XLOOKUP(Table1[[#This Row],[CV3 - Scan Mode]],'ak_grad links'!A:A,'ak_grad links'!B:B)=0,"",_xlfn.XLOOKUP(Table1[[#This Row],[CV3 - Scan Mode]],'ak_grad links'!A:A,'ak_grad links'!B:B))</f>
        <v>Xenon_3D_Radial_Dixon/interleaved_radial3D_129xe_fov400_mtx64_intlv2402_kdt10_gmax31_smax106_dur1p2_coca_rew2_1p25_HAL.wav</v>
      </c>
      <c r="G22" s="39" t="str">
        <f>IF(_xlfn.XLOOKUP(Table1[[#This Row],[CV3 - Scan Mode]],'recon links'!A:A,'recon links'!B:B)=0,"",_xlfn.XLOOKUP(Table1[[#This Row],[CV3 - Scan Mode]],'recon links'!A:A,'recon links'!B:B))</f>
        <v>/export/home/sdc/fidall/bin/recon_grid3d_gx.py</v>
      </c>
      <c r="H22" s="40">
        <v>2396</v>
      </c>
      <c r="I22" s="40">
        <v>53</v>
      </c>
      <c r="J22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2" s="40">
        <v>0</v>
      </c>
      <c r="L22" s="40">
        <v>53</v>
      </c>
      <c r="M22" s="40" t="str">
        <f>IF(_xlfn.XLOOKUP(Table1[[#This Row],[CV20 - vap]],'vap links'!A:A,'vap links'!K:K)=0,"",_xlfn.XLOOKUP(Table1[[#This Row],[CV20 - vap]],'vap links'!A:A,'vap links'!K:K))</f>
        <v>../waveforms/Xenon_3D_Radial_Dixon/interleaved_radial3D_129xe_fov400_mtx64_intlv2402_kdt10_gmax31_smax106_dur1p2_coca_rew2_1p25_HAL_flip.fdl
../waveforms/Xenon_3D_Radial_Dixon/interleaved_radial3D_129xe_fov400_mtx64_intlv2402_kdt10_gmax31_smax106_dur1p2_coca_rew2_1p25_HAL_freq.fdl
../waveforms/Xenon_3D_Radial_Dixon/vap_phase_rf_spoiling_262112.fdl</v>
      </c>
      <c r="N22" s="40">
        <v>53</v>
      </c>
      <c r="O22" s="40" t="str">
        <f>IF(_xlfn.XLOOKUP(Table1[[#This Row],[cv21 - cv_pars]],'cv_pars links'!A:A,'cv_pars links'!B:B)=0,"",_xlfn.XLOOKUP(Table1[[#This Row],[cv21 - cv_pars]],'cv_pars links'!A:A,'cv_pars links'!B:B))</f>
        <v>../waveforms/Xenon_3D_Radial_Dixon/Xenon_3D_Radial_Dixon.cvs</v>
      </c>
      <c r="P22" s="41" t="s">
        <v>267</v>
      </c>
    </row>
    <row r="23" spans="1:16" ht="25.5" x14ac:dyDescent="0.25">
      <c r="A23" s="42" t="s">
        <v>192</v>
      </c>
      <c r="B23" s="42">
        <v>16.3</v>
      </c>
      <c r="C23" s="42">
        <v>0.38700000000000001</v>
      </c>
      <c r="D23" s="42">
        <v>10</v>
      </c>
      <c r="E23" s="43">
        <v>55</v>
      </c>
      <c r="F23" s="44" t="str">
        <f>IF(_xlfn.XLOOKUP(Table1[[#This Row],[CV3 - Scan Mode]],'ak_grad links'!A:A,'ak_grad links'!B:B)=0,"",_xlfn.XLOOKUP(Table1[[#This Row],[CV3 - Scan Mode]],'ak_grad links'!A:A,'ak_grad links'!B:B))</f>
        <v>gx_cpir_MRSI/mrsi3D_129Xe_scheme4_3_fov400_400_320_mtx40_40_32_bw20000_npts88_nexc1437_gmax30_smax144_ncok50_10.wav</v>
      </c>
      <c r="G23" s="44" t="str">
        <f>IF(_xlfn.XLOOKUP(Table1[[#This Row],[CV3 - Scan Mode]],'recon links'!A:A,'recon links'!B:B)=0,"",_xlfn.XLOOKUP(Table1[[#This Row],[CV3 - Scan Mode]],'recon links'!A:A,'recon links'!B:B))</f>
        <v>/export/home/sdc/fidall/bin/recon_mrsi_xenon.py</v>
      </c>
      <c r="H23" s="45">
        <v>1928</v>
      </c>
      <c r="I23" s="45">
        <v>55</v>
      </c>
      <c r="J23" s="45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3" s="45">
        <v>0</v>
      </c>
      <c r="L23" s="45">
        <v>55</v>
      </c>
      <c r="M23" s="45" t="str">
        <f>IF(_xlfn.XLOOKUP(Table1[[#This Row],[CV20 - vap]],'vap links'!A:A,'vap links'!K:K)=0,"",_xlfn.XLOOKUP(Table1[[#This Row],[CV20 - vap]],'vap links'!A:A,'vap links'!K:K))</f>
        <v>../waveforms/gx_cpir_MRSI/vap_flip_gx_16p293deg_tr10_10sat.fdl
../waveforms/gx_cpir_MRSI/vap_phase_rf_spoiling_262112.fdl</v>
      </c>
      <c r="N23" s="45">
        <v>55</v>
      </c>
      <c r="O23" s="45" t="str">
        <f>IF(_xlfn.XLOOKUP(Table1[[#This Row],[cv21 - cv_pars]],'cv_pars links'!A:A,'cv_pars links'!B:B)=0,"",_xlfn.XLOOKUP(Table1[[#This Row],[cv21 - cv_pars]],'cv_pars links'!A:A,'cv_pars links'!B:B))</f>
        <v>../waveforms/gx_cpir_MRSI/gx_cpir_mrsi.cvs</v>
      </c>
      <c r="P23" s="46" t="s">
        <v>278</v>
      </c>
    </row>
    <row r="24" spans="1:16" ht="25.5" x14ac:dyDescent="0.25">
      <c r="A24" s="42" t="s">
        <v>193</v>
      </c>
      <c r="B24" s="42">
        <v>16.3</v>
      </c>
      <c r="C24" s="42">
        <v>0.38700000000000001</v>
      </c>
      <c r="D24" s="42">
        <v>10</v>
      </c>
      <c r="E24" s="43">
        <v>56</v>
      </c>
      <c r="F24" s="44" t="str">
        <f>IF(_xlfn.XLOOKUP(Table1[[#This Row],[CV3 - Scan Mode]],'ak_grad links'!A:A,'ak_grad links'!B:B)=0,"",_xlfn.XLOOKUP(Table1[[#This Row],[CV3 - Scan Mode]],'ak_grad links'!A:A,'ak_grad links'!B:B))</f>
        <v>gx_cpir_MRSI/mrsi3D_129Xe_scheme4_3_fov350_350_280_mtx35_35_28_bw20000_npts88_nexc1264_gmax30_smax142_ncok50_10.wav</v>
      </c>
      <c r="G24" s="44" t="str">
        <f>IF(_xlfn.XLOOKUP(Table1[[#This Row],[CV3 - Scan Mode]],'recon links'!A:A,'recon links'!B:B)=0,"",_xlfn.XLOOKUP(Table1[[#This Row],[CV3 - Scan Mode]],'recon links'!A:A,'recon links'!B:B))</f>
        <v>/export/home/sdc/fidall/bin/recon_mrsi_xenon.py</v>
      </c>
      <c r="H24" s="45">
        <v>1357</v>
      </c>
      <c r="I24" s="45">
        <v>56</v>
      </c>
      <c r="J24" s="45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4" s="45">
        <v>0</v>
      </c>
      <c r="L24" s="45">
        <v>56</v>
      </c>
      <c r="M24" s="45" t="str">
        <f>IF(_xlfn.XLOOKUP(Table1[[#This Row],[CV20 - vap]],'vap links'!A:A,'vap links'!K:K)=0,"",_xlfn.XLOOKUP(Table1[[#This Row],[CV20 - vap]],'vap links'!A:A,'vap links'!K:K))</f>
        <v>../waveforms/gx_cpir_MRSI/vap_flip_gx_16p293deg_tr10_10sat.fdl
../waveforms/gx_cpir_MRSI/vap_phase_rf_spoiling_262112.fdl</v>
      </c>
      <c r="N24" s="45">
        <v>56</v>
      </c>
      <c r="O24" s="45" t="str">
        <f>IF(_xlfn.XLOOKUP(Table1[[#This Row],[cv21 - cv_pars]],'cv_pars links'!A:A,'cv_pars links'!B:B)=0,"",_xlfn.XLOOKUP(Table1[[#This Row],[cv21 - cv_pars]],'cv_pars links'!A:A,'cv_pars links'!B:B))</f>
        <v>../waveforms/gx_cpir_MRSI/gx_cpir_mrsi.cvs</v>
      </c>
      <c r="P24" s="46" t="s">
        <v>278</v>
      </c>
    </row>
    <row r="25" spans="1:16" ht="25.5" x14ac:dyDescent="0.25">
      <c r="A25" s="42" t="s">
        <v>194</v>
      </c>
      <c r="B25" s="42">
        <v>16.3</v>
      </c>
      <c r="C25" s="42">
        <v>0.38700000000000001</v>
      </c>
      <c r="D25" s="42">
        <v>10</v>
      </c>
      <c r="E25" s="43">
        <v>57</v>
      </c>
      <c r="F25" s="44" t="str">
        <f>IF(_xlfn.XLOOKUP(Table1[[#This Row],[CV3 - Scan Mode]],'ak_grad links'!A:A,'ak_grad links'!B:B)=0,"",_xlfn.XLOOKUP(Table1[[#This Row],[CV3 - Scan Mode]],'ak_grad links'!A:A,'ak_grad links'!B:B))</f>
        <v>gx_cpir_MRSI/mrsi3D_129Xe_scheme4_3_fov300_300_240_mtx30_30_24_bw20000_npts88_nexc1047_gmax29_smax140_ncok50_10.wav</v>
      </c>
      <c r="G25" s="44" t="str">
        <f>IF(_xlfn.XLOOKUP(Table1[[#This Row],[CV3 - Scan Mode]],'recon links'!A:A,'recon links'!B:B)=0,"",_xlfn.XLOOKUP(Table1[[#This Row],[CV3 - Scan Mode]],'recon links'!A:A,'recon links'!B:B))</f>
        <v>/export/home/sdc/fidall/bin/recon_mrsi_xenon.py</v>
      </c>
      <c r="H25" s="45">
        <v>907</v>
      </c>
      <c r="I25" s="45">
        <v>57</v>
      </c>
      <c r="J25" s="45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5" s="45">
        <v>0</v>
      </c>
      <c r="L25" s="45">
        <v>57</v>
      </c>
      <c r="M25" s="45" t="str">
        <f>IF(_xlfn.XLOOKUP(Table1[[#This Row],[CV20 - vap]],'vap links'!A:A,'vap links'!K:K)=0,"",_xlfn.XLOOKUP(Table1[[#This Row],[CV20 - vap]],'vap links'!A:A,'vap links'!K:K))</f>
        <v>../waveforms/gx_cpir_MRSI/vap_flip_gx_16p293deg_tr10_10sat.fdl
../waveforms/gx_cpir_MRSI/vap_phase_rf_spoiling_262112.fdl</v>
      </c>
      <c r="N25" s="45">
        <v>57</v>
      </c>
      <c r="O25" s="45" t="str">
        <f>IF(_xlfn.XLOOKUP(Table1[[#This Row],[cv21 - cv_pars]],'cv_pars links'!A:A,'cv_pars links'!B:B)=0,"",_xlfn.XLOOKUP(Table1[[#This Row],[cv21 - cv_pars]],'cv_pars links'!A:A,'cv_pars links'!B:B))</f>
        <v>../waveforms/gx_cpir_MRSI/gx_cpir_mrsi.cvs</v>
      </c>
      <c r="P25" s="46" t="s">
        <v>278</v>
      </c>
    </row>
    <row r="26" spans="1:16" ht="25.5" x14ac:dyDescent="0.25">
      <c r="A26" s="42" t="s">
        <v>195</v>
      </c>
      <c r="B26" s="42">
        <v>16.3</v>
      </c>
      <c r="C26" s="42">
        <v>0.38700000000000001</v>
      </c>
      <c r="D26" s="42">
        <v>10</v>
      </c>
      <c r="E26" s="43">
        <v>58</v>
      </c>
      <c r="F26" s="44" t="str">
        <f>IF(_xlfn.XLOOKUP(Table1[[#This Row],[CV3 - Scan Mode]],'ak_grad links'!A:A,'ak_grad links'!B:B)=0,"",_xlfn.XLOOKUP(Table1[[#This Row],[CV3 - Scan Mode]],'ak_grad links'!A:A,'ak_grad links'!B:B))</f>
        <v>gx_cpir_MRSI/mrsi3D_129Xe_scheme4_3_fov250_250_200_mtx25_25_20_bw20000_npts88_nexc835_gmax30_smax140_ncok50_10.wav</v>
      </c>
      <c r="G26" s="44" t="str">
        <f>IF(_xlfn.XLOOKUP(Table1[[#This Row],[CV3 - Scan Mode]],'recon links'!A:A,'recon links'!B:B)=0,"",_xlfn.XLOOKUP(Table1[[#This Row],[CV3 - Scan Mode]],'recon links'!A:A,'recon links'!B:B))</f>
        <v>/export/home/sdc/fidall/bin/recon_mrsi_xenon.py</v>
      </c>
      <c r="H26" s="45">
        <v>578</v>
      </c>
      <c r="I26" s="45">
        <v>58</v>
      </c>
      <c r="J26" s="45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6" s="45">
        <v>0</v>
      </c>
      <c r="L26" s="45">
        <v>58</v>
      </c>
      <c r="M26" s="45" t="str">
        <f>IF(_xlfn.XLOOKUP(Table1[[#This Row],[CV20 - vap]],'vap links'!A:A,'vap links'!K:K)=0,"",_xlfn.XLOOKUP(Table1[[#This Row],[CV20 - vap]],'vap links'!A:A,'vap links'!K:K))</f>
        <v>../waveforms/gx_cpir_MRSI/vap_flip_gx_16p293deg_tr10_10sat.fdl
../waveforms/gx_cpir_MRSI/vap_phase_rf_spoiling_262112.fdl</v>
      </c>
      <c r="N26" s="45">
        <v>58</v>
      </c>
      <c r="O26" s="45" t="str">
        <f>IF(_xlfn.XLOOKUP(Table1[[#This Row],[cv21 - cv_pars]],'cv_pars links'!A:A,'cv_pars links'!B:B)=0,"",_xlfn.XLOOKUP(Table1[[#This Row],[cv21 - cv_pars]],'cv_pars links'!A:A,'cv_pars links'!B:B))</f>
        <v>../waveforms/gx_cpir_MRSI/gx_cpir_mrsi.cvs</v>
      </c>
      <c r="P26" s="46" t="s">
        <v>278</v>
      </c>
    </row>
    <row r="27" spans="1:16" ht="63.75" x14ac:dyDescent="0.25">
      <c r="A27" s="37" t="s">
        <v>155</v>
      </c>
      <c r="B27" s="37">
        <v>20</v>
      </c>
      <c r="C27" s="37">
        <v>0.38300000000000001</v>
      </c>
      <c r="D27" s="37">
        <v>7.5</v>
      </c>
      <c r="E27" s="38">
        <v>66</v>
      </c>
      <c r="F27" s="39" t="str">
        <f>IF(_xlfn.XLOOKUP(Table1[[#This Row],[CV3 - Scan Mode]],'ak_grad links'!A:A,'ak_grad links'!B:B)=0,"",_xlfn.XLOOKUP(Table1[[#This Row],[CV3 - Scan Mode]],'ak_grad links'!A:A,'ak_grad links'!B:B))</f>
        <v>gx_XeCTC_1ptDixon/interleaved_radial3D_129xe_fov400_mtx64_intlv2002_kdt10_gmax31_smax106_dur1p2_coca_rew2_1p25_HAL.wav</v>
      </c>
      <c r="G27" s="39" t="str">
        <f>IF(_xlfn.XLOOKUP(Table1[[#This Row],[CV3 - Scan Mode]],'recon links'!A:A,'recon links'!B:B)=0,"",_xlfn.XLOOKUP(Table1[[#This Row],[CV3 - Scan Mode]],'recon links'!A:A,'recon links'!B:B))</f>
        <v>/export/home/sdc/fidall/bin/recon_grid3d_gx.py</v>
      </c>
      <c r="H27" s="40">
        <v>2002</v>
      </c>
      <c r="I27" s="40">
        <v>66</v>
      </c>
      <c r="J27" s="40" t="str">
        <f>IF(_xlfn.XLOOKUP(Table1[[#This Row],[CV14 - rfpulse]],'rf links'!A:A,'rf links'!E:E)=0,"",_xlfn.XLOOKUP(Table1[[#This Row],[CV14 - rfpulse]],'rf links'!A:A,'rf links'!E:E))</f>
        <v>rffiles/129Xe_freq_5000hz_600us_3tbw.rho</v>
      </c>
      <c r="K27" s="40">
        <v>0</v>
      </c>
      <c r="L27" s="40">
        <v>66</v>
      </c>
      <c r="M27" s="40" t="str">
        <f>IF(_xlfn.XLOOKUP(Table1[[#This Row],[CV20 - vap]],'vap links'!A:A,'vap links'!K:K)=0,"",_xlfn.XLOOKUP(Table1[[#This Row],[CV20 - vap]],'vap links'!A:A,'vap links'!K:K))</f>
        <v>../waveforms/gx_XeCTC_1ptDixon/interleaved_radial3D_129xe_fov400_mtx64_intlv2002_kdt10_gmax31_smax106_dur1p2_coca_rew2_1p25_HAL_flip.fdl
../waveforms/gx_XeCTC_1ptDixon/interleaved_radial3D_129xe_fov400_mtx64_intlv2002_kdt10_gmax31_smax106_dur1p2_coca_rew2_1p25_HAL_freq.fdl
../waveforms/gx_XeCTC_1ptDixon/vap_phase_rf_spoiling_262112.fdl</v>
      </c>
      <c r="N27" s="40">
        <v>66</v>
      </c>
      <c r="O27" s="40" t="str">
        <f>IF(_xlfn.XLOOKUP(Table1[[#This Row],[cv21 - cv_pars]],'cv_pars links'!A:A,'cv_pars links'!B:B)=0,"",_xlfn.XLOOKUP(Table1[[#This Row],[cv21 - cv_pars]],'cv_pars links'!A:A,'cv_pars links'!B:B))</f>
        <v>../waveforms/gx_XeCTC_1ptDixon/gx_xectc_1ptDixon.cvs</v>
      </c>
      <c r="P27" s="41" t="s">
        <v>267</v>
      </c>
    </row>
    <row r="28" spans="1:16" ht="38.25" x14ac:dyDescent="0.25">
      <c r="A28" s="37" t="s">
        <v>156</v>
      </c>
      <c r="B28" s="37">
        <v>10</v>
      </c>
      <c r="C28" s="37">
        <v>0.45500000000000002</v>
      </c>
      <c r="D28" s="37">
        <v>3.4</v>
      </c>
      <c r="E28" s="38">
        <v>67</v>
      </c>
      <c r="F28" s="39" t="str">
        <f>IF(_xlfn.XLOOKUP(Table1[[#This Row],[CV3 - Scan Mode]],'ak_grad links'!A:A,'ak_grad links'!B:B)=0,"",_xlfn.XLOOKUP(Table1[[#This Row],[CV3 - Scan Mode]],'ak_grad links'!A:A,'ak_grad links'!B:B))</f>
        <v>gx_XeCTC_1ptDixon/radial3D_1h_fov400_mtx64_intlv4600_kdt18_gmax6_smax17_dur2_coca_rew2_1p25_HAL.wav</v>
      </c>
      <c r="G28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28" s="40">
        <v>4600</v>
      </c>
      <c r="I28" s="40">
        <v>0</v>
      </c>
      <c r="J28" s="40" t="str">
        <f>IF(_xlfn.XLOOKUP(Table1[[#This Row],[CV14 - rfpulse]],'rf links'!A:A,'rf links'!E:E)=0,"",_xlfn.XLOOKUP(Table1[[#This Row],[CV14 - rfpulse]],'rf links'!A:A,'rf links'!E:E))</f>
        <v>GE hard pulse</v>
      </c>
      <c r="K28" s="40">
        <v>0</v>
      </c>
      <c r="L28" s="40">
        <v>67</v>
      </c>
      <c r="M28" s="40" t="str">
        <f>IF(_xlfn.XLOOKUP(Table1[[#This Row],[CV20 - vap]],'vap links'!A:A,'vap links'!K:K)=0,"",_xlfn.XLOOKUP(Table1[[#This Row],[CV20 - vap]],'vap links'!A:A,'vap links'!K:K))</f>
        <v>../waveforms/gx_XeCTC_1ptDixon/vap_phase_rf_spoiling_262112.fdl
../waveforms/gx_XeCTC_1ptDixon/radial3D_1h_fov400_mtx64_intlv4600_kdt18_gmax6_smax17_dur2_coca_rew2_1p25_HAL_phi.fdl
../waveforms/gx_XeCTC_1ptDixon/radial3D_1h_fov400_mtx64_intlv4600_kdt18_gmax6_smax17_dur2_coca_rew2_1p25_HAL_theta.fdl</v>
      </c>
      <c r="N28" s="40">
        <v>67</v>
      </c>
      <c r="O28" s="40" t="str">
        <f>IF(_xlfn.XLOOKUP(Table1[[#This Row],[cv21 - cv_pars]],'cv_pars links'!A:A,'cv_pars links'!B:B)=0,"",_xlfn.XLOOKUP(Table1[[#This Row],[cv21 - cv_pars]],'cv_pars links'!A:A,'cv_pars links'!B:B))</f>
        <v>../waveforms/gx_XeCTC_1ptDixon/anatgx_XeCTC_1ptDixon.cvs</v>
      </c>
      <c r="P28" s="41"/>
    </row>
    <row r="29" spans="1:16" x14ac:dyDescent="0.25">
      <c r="A29" s="37" t="s">
        <v>118</v>
      </c>
      <c r="B29" s="37">
        <v>180</v>
      </c>
      <c r="C29" s="37">
        <v>0</v>
      </c>
      <c r="D29" s="37">
        <v>2500</v>
      </c>
      <c r="E29" s="38">
        <v>68</v>
      </c>
      <c r="F29" s="39" t="str">
        <f>IF(_xlfn.XLOOKUP(Table1[[#This Row],[CV3 - Scan Mode]],'ak_grad links'!A:A,'ak_grad links'!B:B)=0,"",_xlfn.XLOOKUP(Table1[[#This Row],[CV3 - Scan Mode]],'ak_grad links'!A:A,'ak_grad links'!B:B))</f>
        <v/>
      </c>
      <c r="G29" s="39" t="str">
        <f>IF(_xlfn.XLOOKUP(Table1[[#This Row],[CV3 - Scan Mode]],'recon links'!A:A,'recon links'!B:B)=0,"",_xlfn.XLOOKUP(Table1[[#This Row],[CV3 - Scan Mode]],'recon links'!A:A,'recon links'!B:B))</f>
        <v>/export/home/sdc/fidall/bin/recon_nutation.py</v>
      </c>
      <c r="H29" s="40">
        <v>18</v>
      </c>
      <c r="I29" s="40">
        <v>7</v>
      </c>
      <c r="J29" s="40" t="str">
        <f>IF(_xlfn.XLOOKUP(Table1[[#This Row],[CV14 - rfpulse]],'rf links'!A:A,'rf links'!E:E)=0,"",_xlfn.XLOOKUP(Table1[[#This Row],[CV14 - rfpulse]],'rf links'!A:A,'rf links'!E:E))</f>
        <v/>
      </c>
      <c r="K29" s="40">
        <v>0</v>
      </c>
      <c r="L29" s="40">
        <v>68</v>
      </c>
      <c r="M29" s="40" t="str">
        <f>IF(_xlfn.XLOOKUP(Table1[[#This Row],[CV20 - vap]],'vap links'!A:A,'vap links'!K:K)=0,"",_xlfn.XLOOKUP(Table1[[#This Row],[CV20 - vap]],'vap links'!A:A,'vap links'!K:K))</f>
        <v>../waveforms/qa_cpir_nutation/qa_cpir_nutation_nexc18_start10_end180_flip.fdl</v>
      </c>
      <c r="N29" s="40">
        <v>68</v>
      </c>
      <c r="O29" s="40" t="str">
        <f>IF(_xlfn.XLOOKUP(Table1[[#This Row],[cv21 - cv_pars]],'cv_pars links'!A:A,'cv_pars links'!B:B)=0,"",_xlfn.XLOOKUP(Table1[[#This Row],[cv21 - cv_pars]],'cv_pars links'!A:A,'cv_pars links'!B:B))</f>
        <v>../waveforms/qa_cpir_nutation/qa_cpir_nutation.cvs</v>
      </c>
      <c r="P29" s="37"/>
    </row>
    <row r="30" spans="1:16" x14ac:dyDescent="0.25">
      <c r="A30" s="37" t="s">
        <v>201</v>
      </c>
      <c r="B30" s="37">
        <v>20.2</v>
      </c>
      <c r="C30" s="37">
        <v>2.048</v>
      </c>
      <c r="D30" s="37">
        <v>188.2</v>
      </c>
      <c r="E30" s="38">
        <v>70</v>
      </c>
      <c r="F30" s="39" t="str">
        <f>IF(_xlfn.XLOOKUP(Table1[[#This Row],[CV3 - Scan Mode]],'ak_grad links'!A:A,'ak_grad links'!B:B)=0,"",_xlfn.XLOOKUP(Table1[[#This Row],[CV3 - Scan Mode]],'ak_grad links'!A:A,'ak_grad links'!B:B))</f>
        <v>vent_cpir_2dSpiralVD/spiralbni_129xe_fov400_mtx134_nexc26_bonus2_vd2start0p5stop1r2_kdt4_gmax41_smax119_dur6p9_M4.wav</v>
      </c>
      <c r="G30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0" s="40">
        <v>26</v>
      </c>
      <c r="I30" s="40">
        <v>1</v>
      </c>
      <c r="J30" s="40" t="str">
        <f>IF(_xlfn.XLOOKUP(Table1[[#This Row],[CV14 - rfpulse]],'rf links'!A:A,'rf links'!E:E)=0,"",_xlfn.XLOOKUP(Table1[[#This Row],[CV14 - rfpulse]],'rf links'!A:A,'rf links'!E:E))</f>
        <v>GE soft pulse</v>
      </c>
      <c r="K30" s="40">
        <v>0</v>
      </c>
      <c r="L30" s="40">
        <v>70</v>
      </c>
      <c r="M30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0" s="40">
        <v>70</v>
      </c>
      <c r="O30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0" s="41"/>
    </row>
    <row r="31" spans="1:16" x14ac:dyDescent="0.25">
      <c r="A31" s="37" t="s">
        <v>202</v>
      </c>
      <c r="B31" s="37">
        <v>20.2</v>
      </c>
      <c r="C31" s="37">
        <v>2.048</v>
      </c>
      <c r="D31" s="37">
        <v>191.7</v>
      </c>
      <c r="E31" s="38">
        <v>71</v>
      </c>
      <c r="F31" s="39" t="str">
        <f>IF(_xlfn.XLOOKUP(Table1[[#This Row],[CV3 - Scan Mode]],'ak_grad links'!A:A,'ak_grad links'!B:B)=0,"",_xlfn.XLOOKUP(Table1[[#This Row],[CV3 - Scan Mode]],'ak_grad links'!A:A,'ak_grad links'!B:B))</f>
        <v>vent_cpir_2dSpiralVD/spiralbni_129xe_fov350_mtx117_nexc22_bonus2_vd2start0p5stop1r2_kdt4_gmax41_smax119_dur7p2_M4.wav</v>
      </c>
      <c r="G31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1" s="40">
        <v>22</v>
      </c>
      <c r="I31" s="40">
        <v>1</v>
      </c>
      <c r="J31" s="40" t="str">
        <f>IF(_xlfn.XLOOKUP(Table1[[#This Row],[CV14 - rfpulse]],'rf links'!A:A,'rf links'!E:E)=0,"",_xlfn.XLOOKUP(Table1[[#This Row],[CV14 - rfpulse]],'rf links'!A:A,'rf links'!E:E))</f>
        <v>GE soft pulse</v>
      </c>
      <c r="K31" s="40">
        <v>0</v>
      </c>
      <c r="L31" s="40">
        <v>71</v>
      </c>
      <c r="M31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1" s="40">
        <v>71</v>
      </c>
      <c r="O31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1" s="41"/>
    </row>
    <row r="32" spans="1:16" x14ac:dyDescent="0.25">
      <c r="A32" s="37" t="s">
        <v>203</v>
      </c>
      <c r="B32" s="37">
        <v>21.3</v>
      </c>
      <c r="C32" s="37">
        <v>2.048</v>
      </c>
      <c r="D32" s="37">
        <v>173.1</v>
      </c>
      <c r="E32" s="38">
        <v>72</v>
      </c>
      <c r="F32" s="39" t="str">
        <f>IF(_xlfn.XLOOKUP(Table1[[#This Row],[CV3 - Scan Mode]],'ak_grad links'!A:A,'ak_grad links'!B:B)=0,"",_xlfn.XLOOKUP(Table1[[#This Row],[CV3 - Scan Mode]],'ak_grad links'!A:A,'ak_grad links'!B:B))</f>
        <v>vent_cpir_2dSpiralVD/spiralbni_129xe_fov300_mtx100_nexc20_bonus2_vd2start0p5stop1r2_kdt4_gmax41_smax119_dur6p8_M4.wav</v>
      </c>
      <c r="G32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2" s="40">
        <v>20</v>
      </c>
      <c r="I32" s="40">
        <v>1</v>
      </c>
      <c r="J32" s="40" t="str">
        <f>IF(_xlfn.XLOOKUP(Table1[[#This Row],[CV14 - rfpulse]],'rf links'!A:A,'rf links'!E:E)=0,"",_xlfn.XLOOKUP(Table1[[#This Row],[CV14 - rfpulse]],'rf links'!A:A,'rf links'!E:E))</f>
        <v>GE soft pulse</v>
      </c>
      <c r="K32" s="40">
        <v>0</v>
      </c>
      <c r="L32" s="40">
        <v>72</v>
      </c>
      <c r="M32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2" s="40">
        <v>72</v>
      </c>
      <c r="O32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2" s="41"/>
    </row>
    <row r="33" spans="1:16" x14ac:dyDescent="0.25">
      <c r="A33" s="37" t="s">
        <v>204</v>
      </c>
      <c r="B33" s="37">
        <v>24</v>
      </c>
      <c r="C33" s="37">
        <v>2.048</v>
      </c>
      <c r="D33" s="37">
        <v>155.1</v>
      </c>
      <c r="E33" s="38">
        <v>73</v>
      </c>
      <c r="F33" s="39" t="str">
        <f>IF(_xlfn.XLOOKUP(Table1[[#This Row],[CV3 - Scan Mode]],'ak_grad links'!A:A,'ak_grad links'!B:B)=0,"",_xlfn.XLOOKUP(Table1[[#This Row],[CV3 - Scan Mode]],'ak_grad links'!A:A,'ak_grad links'!B:B))</f>
        <v>vent_cpir_2dSpiralVD/spiralbni_129xe_fov250_mtx84_nexc18_bonus2_vd2start0p5stop1r2_kdt4_gmax41_smax119_dur6p5_M4.wav</v>
      </c>
      <c r="G33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3" s="40">
        <v>18</v>
      </c>
      <c r="I33" s="40">
        <v>1</v>
      </c>
      <c r="J33" s="40" t="str">
        <f>IF(_xlfn.XLOOKUP(Table1[[#This Row],[CV14 - rfpulse]],'rf links'!A:A,'rf links'!E:E)=0,"",_xlfn.XLOOKUP(Table1[[#This Row],[CV14 - rfpulse]],'rf links'!A:A,'rf links'!E:E))</f>
        <v>GE soft pulse</v>
      </c>
      <c r="K33" s="40">
        <v>0</v>
      </c>
      <c r="L33" s="40">
        <v>73</v>
      </c>
      <c r="M33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3" s="40">
        <v>73</v>
      </c>
      <c r="O33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3" s="41"/>
    </row>
    <row r="34" spans="1:16" x14ac:dyDescent="0.25">
      <c r="A34" s="37" t="s">
        <v>205</v>
      </c>
      <c r="B34" s="37">
        <v>25.9</v>
      </c>
      <c r="C34" s="37">
        <v>2.048</v>
      </c>
      <c r="D34" s="37">
        <v>159.9</v>
      </c>
      <c r="E34" s="38">
        <v>74</v>
      </c>
      <c r="F34" s="39" t="str">
        <f>IF(_xlfn.XLOOKUP(Table1[[#This Row],[CV3 - Scan Mode]],'ak_grad links'!A:A,'ak_grad links'!B:B)=0,"",_xlfn.XLOOKUP(Table1[[#This Row],[CV3 - Scan Mode]],'ak_grad links'!A:A,'ak_grad links'!B:B))</f>
        <v>vent_cpir_2dSpiralVD/spiralbni_129xe_fov200_mtx67_nexc14_bonus2_vd2start0p5stop1r2_kdt8_gmax41_smax119_dur6p9_M4.wav</v>
      </c>
      <c r="G34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4" s="40">
        <v>14</v>
      </c>
      <c r="I34" s="40">
        <v>1</v>
      </c>
      <c r="J34" s="40" t="str">
        <f>IF(_xlfn.XLOOKUP(Table1[[#This Row],[CV14 - rfpulse]],'rf links'!A:A,'rf links'!E:E)=0,"",_xlfn.XLOOKUP(Table1[[#This Row],[CV14 - rfpulse]],'rf links'!A:A,'rf links'!E:E))</f>
        <v>GE soft pulse</v>
      </c>
      <c r="K34" s="40">
        <v>0</v>
      </c>
      <c r="L34" s="40">
        <v>74</v>
      </c>
      <c r="M34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4" s="40">
        <v>74</v>
      </c>
      <c r="O34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4" s="41"/>
    </row>
    <row r="35" spans="1:16" x14ac:dyDescent="0.25">
      <c r="A35" s="37" t="s">
        <v>206</v>
      </c>
      <c r="B35" s="37">
        <v>10</v>
      </c>
      <c r="C35" s="37">
        <v>1.204</v>
      </c>
      <c r="D35" s="37">
        <v>111.7</v>
      </c>
      <c r="E35" s="38">
        <v>75</v>
      </c>
      <c r="F35" s="39" t="str">
        <f>IF(_xlfn.XLOOKUP(Table1[[#This Row],[CV3 - Scan Mode]],'ak_grad links'!A:A,'ak_grad links'!B:B)=0,"",_xlfn.XLOOKUP(Table1[[#This Row],[CV3 - Scan Mode]],'ak_grad links'!A:A,'ak_grad links'!B:B))</f>
        <v>vent_cpir_2dSpiralVD/spiralbni_1h_fov400_mtx134_nexc24_bonus0_vd0start0stop1r1_kdt2_gmax24_smax149_dur2p1_M4.wav</v>
      </c>
      <c r="G35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5" s="40">
        <v>24</v>
      </c>
      <c r="I35" s="40">
        <v>1</v>
      </c>
      <c r="J35" s="40" t="str">
        <f>IF(_xlfn.XLOOKUP(Table1[[#This Row],[CV14 - rfpulse]],'rf links'!A:A,'rf links'!E:E)=0,"",_xlfn.XLOOKUP(Table1[[#This Row],[CV14 - rfpulse]],'rf links'!A:A,'rf links'!E:E))</f>
        <v>GE soft pulse</v>
      </c>
      <c r="K35" s="40">
        <v>0</v>
      </c>
      <c r="L35" s="40">
        <v>75</v>
      </c>
      <c r="M35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5" s="40">
        <v>75</v>
      </c>
      <c r="O35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5" s="41"/>
    </row>
    <row r="36" spans="1:16" x14ac:dyDescent="0.25">
      <c r="A36" s="37" t="s">
        <v>207</v>
      </c>
      <c r="B36" s="37">
        <v>10</v>
      </c>
      <c r="C36" s="37">
        <v>1.204</v>
      </c>
      <c r="D36" s="37">
        <v>104.3</v>
      </c>
      <c r="E36" s="38">
        <v>76</v>
      </c>
      <c r="F36" s="39" t="str">
        <f>IF(_xlfn.XLOOKUP(Table1[[#This Row],[CV3 - Scan Mode]],'ak_grad links'!A:A,'ak_grad links'!B:B)=0,"",_xlfn.XLOOKUP(Table1[[#This Row],[CV3 - Scan Mode]],'ak_grad links'!A:A,'ak_grad links'!B:B))</f>
        <v>vent_cpir_2dSpiralVD/spiralbni_1h_fov350_mtx117_nexc21_bonus0_vd0start0stop1r1_kdt2_gmax24_smax149_dur2p1_M4.wav</v>
      </c>
      <c r="G36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6" s="40">
        <v>21</v>
      </c>
      <c r="I36" s="40">
        <v>1</v>
      </c>
      <c r="J36" s="40" t="str">
        <f>IF(_xlfn.XLOOKUP(Table1[[#This Row],[CV14 - rfpulse]],'rf links'!A:A,'rf links'!E:E)=0,"",_xlfn.XLOOKUP(Table1[[#This Row],[CV14 - rfpulse]],'rf links'!A:A,'rf links'!E:E))</f>
        <v>GE soft pulse</v>
      </c>
      <c r="K36" s="40">
        <v>0</v>
      </c>
      <c r="L36" s="40">
        <v>76</v>
      </c>
      <c r="M36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6" s="40">
        <v>76</v>
      </c>
      <c r="O36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6" s="41"/>
    </row>
    <row r="37" spans="1:16" x14ac:dyDescent="0.25">
      <c r="A37" s="37" t="s">
        <v>208</v>
      </c>
      <c r="B37" s="37">
        <v>10</v>
      </c>
      <c r="C37" s="37">
        <v>1.204</v>
      </c>
      <c r="D37" s="37">
        <v>96.8</v>
      </c>
      <c r="E37" s="38">
        <v>77</v>
      </c>
      <c r="F37" s="39" t="str">
        <f>IF(_xlfn.XLOOKUP(Table1[[#This Row],[CV3 - Scan Mode]],'ak_grad links'!A:A,'ak_grad links'!B:B)=0,"",_xlfn.XLOOKUP(Table1[[#This Row],[CV3 - Scan Mode]],'ak_grad links'!A:A,'ak_grad links'!B:B))</f>
        <v>vent_cpir_2dSpiralVD/spiralbni_1h_fov300_mtx100_nexc18_bonus0_vd0start0stop1r1_kdt2_gmax24_smax149_dur2p1_M4.wav</v>
      </c>
      <c r="G37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7" s="40">
        <v>18</v>
      </c>
      <c r="I37" s="40">
        <v>1</v>
      </c>
      <c r="J37" s="40" t="str">
        <f>IF(_xlfn.XLOOKUP(Table1[[#This Row],[CV14 - rfpulse]],'rf links'!A:A,'rf links'!E:E)=0,"",_xlfn.XLOOKUP(Table1[[#This Row],[CV14 - rfpulse]],'rf links'!A:A,'rf links'!E:E))</f>
        <v>GE soft pulse</v>
      </c>
      <c r="K37" s="40">
        <v>0</v>
      </c>
      <c r="L37" s="40">
        <v>77</v>
      </c>
      <c r="M37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7" s="40">
        <v>77</v>
      </c>
      <c r="O37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7" s="41"/>
    </row>
    <row r="38" spans="1:16" x14ac:dyDescent="0.25">
      <c r="A38" s="37" t="s">
        <v>209</v>
      </c>
      <c r="B38" s="37">
        <v>10</v>
      </c>
      <c r="C38" s="37">
        <v>1.204</v>
      </c>
      <c r="D38" s="37">
        <v>89.4</v>
      </c>
      <c r="E38" s="38">
        <v>78</v>
      </c>
      <c r="F38" s="39" t="str">
        <f>IF(_xlfn.XLOOKUP(Table1[[#This Row],[CV3 - Scan Mode]],'ak_grad links'!A:A,'ak_grad links'!B:B)=0,"",_xlfn.XLOOKUP(Table1[[#This Row],[CV3 - Scan Mode]],'ak_grad links'!A:A,'ak_grad links'!B:B))</f>
        <v>vent_cpir_2dSpiralVD/spiralbni_1h_fov250_mtx84_nexc15_bonus0_vd0start0stop1r1_kdt2_gmax24_smax149_dur2p1_M4.wav</v>
      </c>
      <c r="G38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8" s="40">
        <v>15</v>
      </c>
      <c r="I38" s="40">
        <v>1</v>
      </c>
      <c r="J38" s="40" t="str">
        <f>IF(_xlfn.XLOOKUP(Table1[[#This Row],[CV14 - rfpulse]],'rf links'!A:A,'rf links'!E:E)=0,"",_xlfn.XLOOKUP(Table1[[#This Row],[CV14 - rfpulse]],'rf links'!A:A,'rf links'!E:E))</f>
        <v>GE soft pulse</v>
      </c>
      <c r="K38" s="40">
        <v>0</v>
      </c>
      <c r="L38" s="40">
        <v>78</v>
      </c>
      <c r="M38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8" s="40">
        <v>78</v>
      </c>
      <c r="O38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8" s="41"/>
    </row>
    <row r="39" spans="1:16" x14ac:dyDescent="0.25">
      <c r="A39" s="37" t="s">
        <v>210</v>
      </c>
      <c r="B39" s="37">
        <v>10</v>
      </c>
      <c r="C39" s="37">
        <v>1.204</v>
      </c>
      <c r="D39" s="37">
        <v>89.5</v>
      </c>
      <c r="E39" s="38">
        <v>79</v>
      </c>
      <c r="F39" s="39" t="str">
        <f>IF(_xlfn.XLOOKUP(Table1[[#This Row],[CV3 - Scan Mode]],'ak_grad links'!A:A,'ak_grad links'!B:B)=0,"",_xlfn.XLOOKUP(Table1[[#This Row],[CV3 - Scan Mode]],'ak_grad links'!A:A,'ak_grad links'!B:B))</f>
        <v>vent_cpir_2dSpiralVD/spiralbni_1h_fov200_mtx67_nexc12_bonus0_vd0start0stop1r1_kdt4_gmax24_smax149_dur2p1_M4.wav</v>
      </c>
      <c r="G39" s="39" t="str">
        <f>IF(_xlfn.XLOOKUP(Table1[[#This Row],[CV3 - Scan Mode]],'recon links'!A:A,'recon links'!B:B)=0,"",_xlfn.XLOOKUP(Table1[[#This Row],[CV3 - Scan Mode]],'recon links'!A:A,'recon links'!B:B))</f>
        <v>/export/home/sdc/fidall/bin/recon_grid_interp.py</v>
      </c>
      <c r="H39" s="40">
        <v>12</v>
      </c>
      <c r="I39" s="40">
        <v>1</v>
      </c>
      <c r="J39" s="40" t="str">
        <f>IF(_xlfn.XLOOKUP(Table1[[#This Row],[CV14 - rfpulse]],'rf links'!A:A,'rf links'!E:E)=0,"",_xlfn.XLOOKUP(Table1[[#This Row],[CV14 - rfpulse]],'rf links'!A:A,'rf links'!E:E))</f>
        <v>GE soft pulse</v>
      </c>
      <c r="K39" s="40">
        <v>0</v>
      </c>
      <c r="L39" s="40">
        <v>79</v>
      </c>
      <c r="M39" s="40" t="str">
        <f>IF(_xlfn.XLOOKUP(Table1[[#This Row],[CV20 - vap]],'vap links'!A:A,'vap links'!K:K)=0,"",_xlfn.XLOOKUP(Table1[[#This Row],[CV20 - vap]],'vap links'!A:A,'vap links'!K:K))</f>
        <v>../waveforms/vent_cpir_2dSpiralVD/vap_phase_rf_spoiling_262112.fdl</v>
      </c>
      <c r="N39" s="40">
        <v>79</v>
      </c>
      <c r="O39" s="40" t="str">
        <f>IF(_xlfn.XLOOKUP(Table1[[#This Row],[cv21 - cv_pars]],'cv_pars links'!A:A,'cv_pars links'!B:B)=0,"",_xlfn.XLOOKUP(Table1[[#This Row],[cv21 - cv_pars]],'cv_pars links'!A:A,'cv_pars links'!B:B))</f>
        <v>../waveforms/vent_cpir_2dSpiralVD/vent_cpir_2dSpiralVD.cvs</v>
      </c>
      <c r="P39" s="41"/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A32E-46F8-4E16-9E2E-9368DC71B542}">
  <dimension ref="A1:B100"/>
  <sheetViews>
    <sheetView topLeftCell="A76" workbookViewId="0">
      <selection activeCell="B100" sqref="B100"/>
    </sheetView>
  </sheetViews>
  <sheetFormatPr defaultColWidth="9.140625" defaultRowHeight="12.75" x14ac:dyDescent="0.2"/>
  <cols>
    <col min="1" max="1" width="8.28515625" style="20" bestFit="1" customWidth="1"/>
    <col min="2" max="2" width="121.5703125" style="20" bestFit="1" customWidth="1"/>
    <col min="3" max="16384" width="9.140625" style="20"/>
  </cols>
  <sheetData>
    <row r="1" spans="1:2" x14ac:dyDescent="0.2">
      <c r="A1" s="20" t="s">
        <v>229</v>
      </c>
      <c r="B1" s="20" t="s">
        <v>0</v>
      </c>
    </row>
    <row r="2" spans="1:2" x14ac:dyDescent="0.2">
      <c r="A2" s="20">
        <v>1</v>
      </c>
      <c r="B2" s="20" t="s">
        <v>266</v>
      </c>
    </row>
    <row r="3" spans="1:2" x14ac:dyDescent="0.2">
      <c r="A3" s="20">
        <v>2</v>
      </c>
      <c r="B3" s="20" t="s">
        <v>12</v>
      </c>
    </row>
    <row r="4" spans="1:2" x14ac:dyDescent="0.2">
      <c r="A4" s="20">
        <v>3</v>
      </c>
      <c r="B4" s="20" t="s">
        <v>14</v>
      </c>
    </row>
    <row r="5" spans="1:2" x14ac:dyDescent="0.2">
      <c r="A5" s="20">
        <v>4</v>
      </c>
      <c r="B5" s="20" t="s">
        <v>16</v>
      </c>
    </row>
    <row r="6" spans="1:2" x14ac:dyDescent="0.2">
      <c r="A6" s="20">
        <v>5</v>
      </c>
      <c r="B6" s="20" t="s">
        <v>18</v>
      </c>
    </row>
    <row r="7" spans="1:2" x14ac:dyDescent="0.2">
      <c r="A7" s="20">
        <v>6</v>
      </c>
      <c r="B7" s="20" t="s">
        <v>19</v>
      </c>
    </row>
    <row r="8" spans="1:2" x14ac:dyDescent="0.2">
      <c r="A8" s="20">
        <v>7</v>
      </c>
      <c r="B8" s="20" t="s">
        <v>20</v>
      </c>
    </row>
    <row r="9" spans="1:2" x14ac:dyDescent="0.2">
      <c r="A9" s="20">
        <v>8</v>
      </c>
      <c r="B9" s="20" t="s">
        <v>22</v>
      </c>
    </row>
    <row r="10" spans="1:2" x14ac:dyDescent="0.2">
      <c r="A10" s="20">
        <v>9</v>
      </c>
      <c r="B10" s="20" t="s">
        <v>24</v>
      </c>
    </row>
    <row r="11" spans="1:2" x14ac:dyDescent="0.2">
      <c r="A11" s="20">
        <v>10</v>
      </c>
      <c r="B11" s="20" t="s">
        <v>27</v>
      </c>
    </row>
    <row r="12" spans="1:2" x14ac:dyDescent="0.2">
      <c r="A12" s="20">
        <v>11</v>
      </c>
      <c r="B12" s="20" t="s">
        <v>31</v>
      </c>
    </row>
    <row r="13" spans="1:2" x14ac:dyDescent="0.2">
      <c r="A13" s="20">
        <v>12</v>
      </c>
    </row>
    <row r="14" spans="1:2" x14ac:dyDescent="0.2">
      <c r="A14" s="20">
        <v>13</v>
      </c>
    </row>
    <row r="15" spans="1:2" x14ac:dyDescent="0.2">
      <c r="A15" s="20">
        <v>14</v>
      </c>
    </row>
    <row r="16" spans="1:2" x14ac:dyDescent="0.2">
      <c r="A16" s="20">
        <v>15</v>
      </c>
      <c r="B16" s="20" t="s">
        <v>39</v>
      </c>
    </row>
    <row r="17" spans="1:2" x14ac:dyDescent="0.2">
      <c r="A17" s="20">
        <v>16</v>
      </c>
      <c r="B17" s="20" t="s">
        <v>44</v>
      </c>
    </row>
    <row r="18" spans="1:2" x14ac:dyDescent="0.2">
      <c r="A18" s="20">
        <v>17</v>
      </c>
      <c r="B18" s="20" t="s">
        <v>48</v>
      </c>
    </row>
    <row r="19" spans="1:2" x14ac:dyDescent="0.2">
      <c r="A19" s="20">
        <v>18</v>
      </c>
      <c r="B19" s="20" t="s">
        <v>55</v>
      </c>
    </row>
    <row r="20" spans="1:2" x14ac:dyDescent="0.2">
      <c r="A20" s="20">
        <v>19</v>
      </c>
      <c r="B20" s="20" t="s">
        <v>60</v>
      </c>
    </row>
    <row r="21" spans="1:2" x14ac:dyDescent="0.2">
      <c r="A21" s="20">
        <v>20</v>
      </c>
      <c r="B21" s="20" t="s">
        <v>63</v>
      </c>
    </row>
    <row r="22" spans="1:2" x14ac:dyDescent="0.2">
      <c r="A22" s="20">
        <v>21</v>
      </c>
      <c r="B22" s="20" t="s">
        <v>65</v>
      </c>
    </row>
    <row r="23" spans="1:2" x14ac:dyDescent="0.2">
      <c r="A23" s="20">
        <v>22</v>
      </c>
      <c r="B23" s="20" t="s">
        <v>66</v>
      </c>
    </row>
    <row r="24" spans="1:2" x14ac:dyDescent="0.2">
      <c r="A24" s="20">
        <v>23</v>
      </c>
      <c r="B24" s="20" t="s">
        <v>68</v>
      </c>
    </row>
    <row r="25" spans="1:2" x14ac:dyDescent="0.2">
      <c r="A25" s="20">
        <v>24</v>
      </c>
      <c r="B25" s="20" t="s">
        <v>69</v>
      </c>
    </row>
    <row r="26" spans="1:2" x14ac:dyDescent="0.2">
      <c r="A26" s="20">
        <v>25</v>
      </c>
      <c r="B26" s="20" t="s">
        <v>71</v>
      </c>
    </row>
    <row r="27" spans="1:2" x14ac:dyDescent="0.2">
      <c r="A27" s="20">
        <v>26</v>
      </c>
      <c r="B27" s="20" t="s">
        <v>75</v>
      </c>
    </row>
    <row r="28" spans="1:2" x14ac:dyDescent="0.2">
      <c r="A28" s="20">
        <v>27</v>
      </c>
      <c r="B28" s="20" t="s">
        <v>78</v>
      </c>
    </row>
    <row r="29" spans="1:2" x14ac:dyDescent="0.2">
      <c r="A29" s="20">
        <v>28</v>
      </c>
      <c r="B29" s="20" t="s">
        <v>81</v>
      </c>
    </row>
    <row r="30" spans="1:2" x14ac:dyDescent="0.2">
      <c r="A30" s="20">
        <v>29</v>
      </c>
      <c r="B30" s="20" t="s">
        <v>83</v>
      </c>
    </row>
    <row r="31" spans="1:2" x14ac:dyDescent="0.2">
      <c r="A31" s="20">
        <v>30</v>
      </c>
    </row>
    <row r="32" spans="1:2" x14ac:dyDescent="0.2">
      <c r="A32" s="20">
        <v>31</v>
      </c>
    </row>
    <row r="33" spans="1:2" x14ac:dyDescent="0.2">
      <c r="A33" s="20">
        <v>32</v>
      </c>
    </row>
    <row r="34" spans="1:2" x14ac:dyDescent="0.2">
      <c r="A34" s="20">
        <v>33</v>
      </c>
    </row>
    <row r="35" spans="1:2" x14ac:dyDescent="0.2">
      <c r="A35" s="20">
        <v>34</v>
      </c>
    </row>
    <row r="36" spans="1:2" x14ac:dyDescent="0.2">
      <c r="A36" s="20">
        <v>35</v>
      </c>
      <c r="B36" s="20" t="s">
        <v>92</v>
      </c>
    </row>
    <row r="37" spans="1:2" x14ac:dyDescent="0.2">
      <c r="A37" s="20">
        <v>36</v>
      </c>
      <c r="B37" s="20" t="s">
        <v>93</v>
      </c>
    </row>
    <row r="38" spans="1:2" x14ac:dyDescent="0.2">
      <c r="A38" s="20">
        <v>37</v>
      </c>
      <c r="B38" s="20" t="s">
        <v>94</v>
      </c>
    </row>
    <row r="39" spans="1:2" x14ac:dyDescent="0.2">
      <c r="A39" s="20">
        <v>38</v>
      </c>
      <c r="B39" s="20" t="s">
        <v>95</v>
      </c>
    </row>
    <row r="40" spans="1:2" x14ac:dyDescent="0.2">
      <c r="A40" s="20">
        <v>39</v>
      </c>
      <c r="B40" s="20" t="s">
        <v>96</v>
      </c>
    </row>
    <row r="41" spans="1:2" x14ac:dyDescent="0.2">
      <c r="A41" s="20">
        <v>40</v>
      </c>
      <c r="B41" s="20" t="s">
        <v>98</v>
      </c>
    </row>
    <row r="42" spans="1:2" x14ac:dyDescent="0.2">
      <c r="A42" s="20">
        <v>41</v>
      </c>
      <c r="B42" s="20" t="s">
        <v>102</v>
      </c>
    </row>
    <row r="43" spans="1:2" x14ac:dyDescent="0.2">
      <c r="A43" s="20">
        <v>42</v>
      </c>
      <c r="B43" s="20" t="s">
        <v>280</v>
      </c>
    </row>
    <row r="44" spans="1:2" x14ac:dyDescent="0.2">
      <c r="A44" s="20">
        <v>43</v>
      </c>
      <c r="B44" s="20" t="s">
        <v>215</v>
      </c>
    </row>
    <row r="45" spans="1:2" x14ac:dyDescent="0.2">
      <c r="A45" s="20">
        <v>44</v>
      </c>
    </row>
    <row r="46" spans="1:2" x14ac:dyDescent="0.2">
      <c r="A46" s="20">
        <v>45</v>
      </c>
    </row>
    <row r="47" spans="1:2" x14ac:dyDescent="0.2">
      <c r="A47" s="20">
        <v>46</v>
      </c>
    </row>
    <row r="48" spans="1:2" x14ac:dyDescent="0.2">
      <c r="A48" s="20">
        <v>47</v>
      </c>
    </row>
    <row r="49" spans="1:2" x14ac:dyDescent="0.2">
      <c r="A49" s="20">
        <v>48</v>
      </c>
    </row>
    <row r="50" spans="1:2" x14ac:dyDescent="0.2">
      <c r="A50" s="20">
        <v>49</v>
      </c>
    </row>
    <row r="51" spans="1:2" x14ac:dyDescent="0.2">
      <c r="A51" s="20">
        <v>50</v>
      </c>
    </row>
    <row r="52" spans="1:2" x14ac:dyDescent="0.2">
      <c r="A52" s="20">
        <v>51</v>
      </c>
    </row>
    <row r="53" spans="1:2" x14ac:dyDescent="0.2">
      <c r="A53" s="20">
        <v>52</v>
      </c>
    </row>
    <row r="54" spans="1:2" x14ac:dyDescent="0.2">
      <c r="A54" s="20">
        <v>53</v>
      </c>
      <c r="B54" s="20" t="s">
        <v>281</v>
      </c>
    </row>
    <row r="55" spans="1:2" x14ac:dyDescent="0.2">
      <c r="A55" s="20">
        <v>54</v>
      </c>
    </row>
    <row r="56" spans="1:2" x14ac:dyDescent="0.2">
      <c r="A56" s="20">
        <v>55</v>
      </c>
      <c r="B56" s="20" t="s">
        <v>282</v>
      </c>
    </row>
    <row r="57" spans="1:2" x14ac:dyDescent="0.2">
      <c r="A57" s="20">
        <v>56</v>
      </c>
      <c r="B57" s="20" t="s">
        <v>283</v>
      </c>
    </row>
    <row r="58" spans="1:2" x14ac:dyDescent="0.2">
      <c r="A58" s="20">
        <v>57</v>
      </c>
      <c r="B58" s="20" t="s">
        <v>284</v>
      </c>
    </row>
    <row r="59" spans="1:2" x14ac:dyDescent="0.2">
      <c r="A59" s="20">
        <v>58</v>
      </c>
      <c r="B59" s="20" t="s">
        <v>285</v>
      </c>
    </row>
    <row r="60" spans="1:2" x14ac:dyDescent="0.2">
      <c r="A60" s="20">
        <v>59</v>
      </c>
    </row>
    <row r="61" spans="1:2" x14ac:dyDescent="0.2">
      <c r="A61" s="20">
        <v>60</v>
      </c>
    </row>
    <row r="62" spans="1:2" x14ac:dyDescent="0.2">
      <c r="A62" s="20">
        <v>61</v>
      </c>
    </row>
    <row r="63" spans="1:2" x14ac:dyDescent="0.2">
      <c r="A63" s="20">
        <v>62</v>
      </c>
    </row>
    <row r="64" spans="1:2" x14ac:dyDescent="0.2">
      <c r="A64" s="20">
        <v>63</v>
      </c>
    </row>
    <row r="65" spans="1:2" x14ac:dyDescent="0.2">
      <c r="A65" s="20">
        <v>64</v>
      </c>
    </row>
    <row r="66" spans="1:2" x14ac:dyDescent="0.2">
      <c r="A66" s="20">
        <v>65</v>
      </c>
      <c r="B66" s="20" t="s">
        <v>286</v>
      </c>
    </row>
    <row r="67" spans="1:2" x14ac:dyDescent="0.2">
      <c r="A67" s="20">
        <v>66</v>
      </c>
      <c r="B67" s="20" t="s">
        <v>109</v>
      </c>
    </row>
    <row r="68" spans="1:2" x14ac:dyDescent="0.2">
      <c r="A68" s="20">
        <v>67</v>
      </c>
      <c r="B68" s="20" t="s">
        <v>113</v>
      </c>
    </row>
    <row r="69" spans="1:2" x14ac:dyDescent="0.2">
      <c r="A69" s="20">
        <v>68</v>
      </c>
    </row>
    <row r="70" spans="1:2" x14ac:dyDescent="0.2">
      <c r="A70" s="20">
        <v>69</v>
      </c>
    </row>
    <row r="71" spans="1:2" x14ac:dyDescent="0.2">
      <c r="A71" s="20">
        <v>70</v>
      </c>
      <c r="B71" s="20" t="s">
        <v>234</v>
      </c>
    </row>
    <row r="72" spans="1:2" x14ac:dyDescent="0.2">
      <c r="A72" s="20">
        <v>71</v>
      </c>
      <c r="B72" s="20" t="s">
        <v>235</v>
      </c>
    </row>
    <row r="73" spans="1:2" x14ac:dyDescent="0.2">
      <c r="A73" s="20">
        <v>72</v>
      </c>
      <c r="B73" s="20" t="s">
        <v>236</v>
      </c>
    </row>
    <row r="74" spans="1:2" x14ac:dyDescent="0.2">
      <c r="A74" s="20">
        <v>73</v>
      </c>
      <c r="B74" s="20" t="s">
        <v>237</v>
      </c>
    </row>
    <row r="75" spans="1:2" x14ac:dyDescent="0.2">
      <c r="A75" s="20">
        <v>74</v>
      </c>
      <c r="B75" s="20" t="s">
        <v>238</v>
      </c>
    </row>
    <row r="76" spans="1:2" x14ac:dyDescent="0.2">
      <c r="A76" s="20">
        <v>75</v>
      </c>
      <c r="B76" s="20" t="s">
        <v>217</v>
      </c>
    </row>
    <row r="77" spans="1:2" x14ac:dyDescent="0.2">
      <c r="A77" s="20">
        <v>76</v>
      </c>
      <c r="B77" s="20" t="s">
        <v>218</v>
      </c>
    </row>
    <row r="78" spans="1:2" x14ac:dyDescent="0.2">
      <c r="A78" s="20">
        <v>77</v>
      </c>
      <c r="B78" s="20" t="s">
        <v>219</v>
      </c>
    </row>
    <row r="79" spans="1:2" x14ac:dyDescent="0.2">
      <c r="A79" s="20">
        <v>78</v>
      </c>
      <c r="B79" s="20" t="s">
        <v>220</v>
      </c>
    </row>
    <row r="80" spans="1:2" x14ac:dyDescent="0.2">
      <c r="A80" s="20">
        <v>79</v>
      </c>
      <c r="B80" s="20" t="s">
        <v>221</v>
      </c>
    </row>
    <row r="81" spans="1:1" x14ac:dyDescent="0.2">
      <c r="A81" s="20">
        <v>80</v>
      </c>
    </row>
    <row r="82" spans="1:1" x14ac:dyDescent="0.2">
      <c r="A82" s="20">
        <v>81</v>
      </c>
    </row>
    <row r="83" spans="1:1" x14ac:dyDescent="0.2">
      <c r="A83" s="20">
        <v>82</v>
      </c>
    </row>
    <row r="84" spans="1:1" x14ac:dyDescent="0.2">
      <c r="A84" s="20">
        <v>83</v>
      </c>
    </row>
    <row r="85" spans="1:1" x14ac:dyDescent="0.2">
      <c r="A85" s="20">
        <v>84</v>
      </c>
    </row>
    <row r="86" spans="1:1" x14ac:dyDescent="0.2">
      <c r="A86" s="20">
        <v>85</v>
      </c>
    </row>
    <row r="87" spans="1:1" x14ac:dyDescent="0.2">
      <c r="A87" s="20">
        <v>86</v>
      </c>
    </row>
    <row r="88" spans="1:1" x14ac:dyDescent="0.2">
      <c r="A88" s="20">
        <v>87</v>
      </c>
    </row>
    <row r="89" spans="1:1" x14ac:dyDescent="0.2">
      <c r="A89" s="20">
        <v>88</v>
      </c>
    </row>
    <row r="90" spans="1:1" x14ac:dyDescent="0.2">
      <c r="A90" s="20">
        <v>89</v>
      </c>
    </row>
    <row r="91" spans="1:1" x14ac:dyDescent="0.2">
      <c r="A91" s="20">
        <v>90</v>
      </c>
    </row>
    <row r="92" spans="1:1" x14ac:dyDescent="0.2">
      <c r="A92" s="20">
        <v>91</v>
      </c>
    </row>
    <row r="93" spans="1:1" x14ac:dyDescent="0.2">
      <c r="A93" s="20">
        <v>92</v>
      </c>
    </row>
    <row r="94" spans="1:1" x14ac:dyDescent="0.2">
      <c r="A94" s="20">
        <v>93</v>
      </c>
    </row>
    <row r="95" spans="1:1" x14ac:dyDescent="0.2">
      <c r="A95" s="20">
        <v>94</v>
      </c>
    </row>
    <row r="96" spans="1:1" x14ac:dyDescent="0.2">
      <c r="A96" s="20">
        <v>95</v>
      </c>
    </row>
    <row r="97" spans="1:1" x14ac:dyDescent="0.2">
      <c r="A97" s="20">
        <v>96</v>
      </c>
    </row>
    <row r="98" spans="1:1" x14ac:dyDescent="0.2">
      <c r="A98" s="20">
        <v>97</v>
      </c>
    </row>
    <row r="99" spans="1:1" x14ac:dyDescent="0.2">
      <c r="A99" s="20">
        <v>98</v>
      </c>
    </row>
    <row r="100" spans="1:1" x14ac:dyDescent="0.2">
      <c r="A100" s="20">
        <v>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1516-E22D-4AE3-9FCE-16FC9C7BECDF}">
  <dimension ref="A1:E101"/>
  <sheetViews>
    <sheetView topLeftCell="A74" workbookViewId="0">
      <selection activeCell="B101" sqref="B101"/>
    </sheetView>
  </sheetViews>
  <sheetFormatPr defaultColWidth="9.140625" defaultRowHeight="12.75" x14ac:dyDescent="0.25"/>
  <cols>
    <col min="1" max="1" width="9.28515625" style="19" bestFit="1" customWidth="1"/>
    <col min="2" max="2" width="86.5703125" style="19" bestFit="1" customWidth="1"/>
    <col min="3" max="3" width="85.7109375" style="19" bestFit="1" customWidth="1"/>
    <col min="4" max="4" width="57.140625" style="19" bestFit="1" customWidth="1"/>
    <col min="5" max="5" width="86.5703125" style="19" bestFit="1" customWidth="1"/>
    <col min="6" max="16384" width="9.140625" style="19"/>
  </cols>
  <sheetData>
    <row r="1" spans="1:5" s="18" customFormat="1" x14ac:dyDescent="0.25">
      <c r="A1" s="18" t="s">
        <v>229</v>
      </c>
      <c r="B1" s="18" t="s">
        <v>239</v>
      </c>
      <c r="C1" s="18" t="s">
        <v>240</v>
      </c>
      <c r="D1" s="18" t="s">
        <v>255</v>
      </c>
      <c r="E1" s="18" t="s">
        <v>260</v>
      </c>
    </row>
    <row r="2" spans="1:5" s="18" customFormat="1" x14ac:dyDescent="0.25">
      <c r="A2" s="19">
        <v>0</v>
      </c>
      <c r="B2" s="19" t="s">
        <v>264</v>
      </c>
      <c r="C2" s="19"/>
      <c r="D2" s="19"/>
      <c r="E2" s="19" t="str">
        <f>_xlfn.TEXTJOIN(CHAR(10),TRUE,Table245[[#This Row],[exrf rho]:[exrf_cvs]])</f>
        <v>GE hard pulse</v>
      </c>
    </row>
    <row r="3" spans="1:5" x14ac:dyDescent="0.25">
      <c r="A3" s="19">
        <v>1</v>
      </c>
      <c r="B3" s="19" t="s">
        <v>265</v>
      </c>
      <c r="E3" s="19" t="str">
        <f>_xlfn.TEXTJOIN(CHAR(10),TRUE,Table245[[#This Row],[exrf rho]:[exrf_cvs]])</f>
        <v>GE soft pulse</v>
      </c>
    </row>
    <row r="4" spans="1:5" ht="38.25" x14ac:dyDescent="0.25">
      <c r="A4" s="19">
        <v>2</v>
      </c>
      <c r="B4" s="19" t="s">
        <v>242</v>
      </c>
      <c r="C4" s="19" t="s">
        <v>241</v>
      </c>
      <c r="D4" s="19" t="s">
        <v>256</v>
      </c>
      <c r="E4" s="19" t="str">
        <f>_xlfn.TEXTJOIN(CHAR(10),TRUE,Table245[[#This Row],[exrf rho]:[exrf_cvs]])</f>
        <v>/export/home/sdc/fidall/waveforms/rffiles/spsp2d_hshi_5_2_15_4374_17496.rho
/export/home/sdc/fidall/waveforms/rffiles/spsp2d_hshi_5_2_15_4374_17496.gz
../waveforms/rffiles/spsp2d_hshi_5_2_15_4374_17496.cvs</v>
      </c>
    </row>
    <row r="5" spans="1:5" ht="25.5" x14ac:dyDescent="0.25">
      <c r="A5" s="19">
        <v>3</v>
      </c>
      <c r="B5" s="19" t="s">
        <v>244</v>
      </c>
      <c r="C5" s="19" t="s">
        <v>243</v>
      </c>
      <c r="E5" s="19" t="str">
        <f>_xlfn.TEXTJOIN(CHAR(10),TRUE,Table245[[#This Row],[exrf rho]:[exrf_cvs]])</f>
        <v>/export/home/sdc/fidall/waveforms/rffiles/spsp2d_cent_1_2_21_6054_24216.rho
/export/home/sdc/fidall/waveforms/rffiles/spsp2d_cent_1_2_21_6054_24216.gz</v>
      </c>
    </row>
    <row r="6" spans="1:5" ht="25.5" x14ac:dyDescent="0.25">
      <c r="A6" s="19">
        <v>4</v>
      </c>
      <c r="B6" s="19" t="s">
        <v>246</v>
      </c>
      <c r="C6" s="19" t="s">
        <v>245</v>
      </c>
      <c r="E6" s="19" t="str">
        <f>_xlfn.TEXTJOIN(CHAR(10),TRUE,Table245[[#This Row],[exrf rho]:[exrf_cvs]])</f>
        <v>export/home/sdc/fidall/waveforms/rffiles/spsp2d_flyb_4_2_18_5610_22440.rho
/export/home/sdc/fidall/waveforms/rffiles/spsp2d_flyb_4_2_18_5610_22440.gz</v>
      </c>
    </row>
    <row r="7" spans="1:5" x14ac:dyDescent="0.25">
      <c r="A7" s="19">
        <v>5</v>
      </c>
      <c r="B7" s="19" t="s">
        <v>17</v>
      </c>
      <c r="E7" s="19" t="str">
        <f>_xlfn.TEXTJOIN(CHAR(10),TRUE,Table245[[#This Row],[exrf rho]:[exrf_cvs]])</f>
        <v>/export/home/sdc/fidall/waveforms/rffiles/mnsrp_freqsel_n750_t30_bw80_ftw0p9.rho</v>
      </c>
    </row>
    <row r="8" spans="1:5" ht="51" x14ac:dyDescent="0.25">
      <c r="A8" s="19">
        <v>6</v>
      </c>
      <c r="B8" s="19" t="s">
        <v>248</v>
      </c>
      <c r="C8" s="19" t="s">
        <v>247</v>
      </c>
      <c r="E8" s="19" t="str">
        <f>_xlfn.TEXTJOIN(CHAR(10),TRUE,Table245[[#This Row],[exrf rho]:[exrf_cvs]])</f>
        <v>/export/home/sdc/fidall/waveforms/rffiles/rf4ssfp_FA90_nBW22_thick3_B1max12747_dur3424_gmax33_smax120.rho
/export/home/sdc/fidall/waveforms/rffiles/rf4ssfp_FA90_nBW22_thick3_B1max12747_dur3424_gmax33_smax120.gz</v>
      </c>
    </row>
    <row r="9" spans="1:5" x14ac:dyDescent="0.25">
      <c r="A9" s="19">
        <v>7</v>
      </c>
      <c r="E9" s="19" t="str">
        <f>_xlfn.TEXTJOIN(CHAR(10),TRUE,Table245[[#This Row],[exrf rho]:[exrf_cvs]])</f>
        <v/>
      </c>
    </row>
    <row r="10" spans="1:5" x14ac:dyDescent="0.25">
      <c r="A10" s="19">
        <v>8</v>
      </c>
      <c r="E10" s="19" t="str">
        <f>_xlfn.TEXTJOIN(CHAR(10),TRUE,Table245[[#This Row],[exrf rho]:[exrf_cvs]])</f>
        <v/>
      </c>
    </row>
    <row r="11" spans="1:5" x14ac:dyDescent="0.25">
      <c r="A11" s="19">
        <v>9</v>
      </c>
      <c r="E11" s="19" t="str">
        <f>_xlfn.TEXTJOIN(CHAR(10),TRUE,Table245[[#This Row],[exrf rho]:[exrf_cvs]])</f>
        <v/>
      </c>
    </row>
    <row r="12" spans="1:5" ht="25.5" x14ac:dyDescent="0.25">
      <c r="A12" s="19">
        <v>10</v>
      </c>
      <c r="B12" s="19" t="s">
        <v>26</v>
      </c>
      <c r="E12" s="19" t="str">
        <f>_xlfn.TEXTJOIN(CHAR(10),TRUE,Table245[[#This Row],[exrf rho]:[exrf_cvs]])</f>
        <v>/export/home/sdc/fidall/waveforms/rffiles/exrf_spat_flip90_t2_ref0p5_b1max20p845_bw3500_sb2100.rho</v>
      </c>
    </row>
    <row r="13" spans="1:5" ht="25.5" x14ac:dyDescent="0.25">
      <c r="A13" s="19">
        <v>11</v>
      </c>
      <c r="B13" s="19" t="s">
        <v>30</v>
      </c>
      <c r="E13" s="19" t="str">
        <f>_xlfn.TEXTJOIN(CHAR(10),TRUE,Table245[[#This Row],[exrf rho]:[exrf_cvs]])</f>
        <v>/export/home/sdc/fidall/waveforms/rffiles/exrf_spat_flip90_t3_ref0p4_b1max10p873_bw1800_sb1080.rho</v>
      </c>
    </row>
    <row r="14" spans="1:5" x14ac:dyDescent="0.25">
      <c r="A14" s="19">
        <v>12</v>
      </c>
      <c r="B14" s="19" t="s">
        <v>35</v>
      </c>
      <c r="E14" s="19" t="str">
        <f>_xlfn.TEXTJOIN(CHAR(10),TRUE,Table245[[#This Row],[exrf rho]:[exrf_cvs]])</f>
        <v>/export/home/sdc/fidall/waveforms/rffiles/hardpulse_flip20_pw112.rho</v>
      </c>
    </row>
    <row r="15" spans="1:5" x14ac:dyDescent="0.25">
      <c r="A15" s="19">
        <v>13</v>
      </c>
      <c r="B15" s="19" t="s">
        <v>36</v>
      </c>
      <c r="E15" s="19" t="str">
        <f>_xlfn.TEXTJOIN(CHAR(10),TRUE,Table245[[#This Row],[exrf rho]:[exrf_cvs]])</f>
        <v>/export/home/sdc/fidall/waveforms/rffiles/hardpulse_flip30_pw160.rho</v>
      </c>
    </row>
    <row r="16" spans="1:5" x14ac:dyDescent="0.25">
      <c r="A16" s="19">
        <v>14</v>
      </c>
      <c r="E16" s="19" t="str">
        <f>_xlfn.TEXTJOIN(CHAR(10),TRUE,Table245[[#This Row],[exrf rho]:[exrf_cvs]])</f>
        <v/>
      </c>
    </row>
    <row r="17" spans="1:5" x14ac:dyDescent="0.25">
      <c r="A17" s="19">
        <v>15</v>
      </c>
      <c r="E17" s="19" t="str">
        <f>_xlfn.TEXTJOIN(CHAR(10),TRUE,Table245[[#This Row],[exrf rho]:[exrf_cvs]])</f>
        <v/>
      </c>
    </row>
    <row r="18" spans="1:5" ht="25.5" x14ac:dyDescent="0.25">
      <c r="A18" s="19">
        <v>16</v>
      </c>
      <c r="B18" s="19" t="s">
        <v>43</v>
      </c>
      <c r="D18" s="19" t="s">
        <v>257</v>
      </c>
      <c r="E18" s="19" t="str">
        <f>_xlfn.TEXTJOIN(CHAR(10),TRUE,Table245[[#This Row],[exrf rho]:[exrf_cvs]])</f>
        <v>/export/home/sdc/fidall/waveforms/rffiles/exrf_freq_flip40_t1p2_ref0p5_b1max6p3494_bw500.rho
../waveforms/rffiles/exrf_freq_flip40_t1p2_ref0p5_b1max6p3494_bw500.cvs</v>
      </c>
    </row>
    <row r="19" spans="1:5" ht="25.5" x14ac:dyDescent="0.25">
      <c r="A19" s="19">
        <v>17</v>
      </c>
      <c r="B19" s="19" t="s">
        <v>47</v>
      </c>
      <c r="D19" s="19" t="s">
        <v>258</v>
      </c>
      <c r="E19" s="19" t="str">
        <f>_xlfn.TEXTJOIN(CHAR(10),TRUE,Table245[[#This Row],[exrf rho]:[exrf_cvs]])</f>
        <v>/export/home/sdc/fidall/waveforms/rffiles/exrf_freq_flip40_t0p6_ref0p5_b1max11p855_bw1000.rho
../waveforms/rffiles/exrf_freq_flip40_t0p6_ref0p5_b1max11p855_bw1000.cvs</v>
      </c>
    </row>
    <row r="20" spans="1:5" x14ac:dyDescent="0.25">
      <c r="A20" s="19">
        <v>18</v>
      </c>
      <c r="B20" s="19" t="s">
        <v>287</v>
      </c>
      <c r="E20" s="19" t="str">
        <f>_xlfn.TEXTJOIN(CHAR(10),TRUE,Table245[[#This Row],[exrf rho]:[exrf_cvs]])</f>
        <v>rffiles/exrf_freq_flip40_t0p6_ref0p5_b1max12p375_bw1000_sb7130.rho</v>
      </c>
    </row>
    <row r="21" spans="1:5" x14ac:dyDescent="0.25">
      <c r="A21" s="19">
        <v>19</v>
      </c>
      <c r="E21" s="19" t="str">
        <f>_xlfn.TEXTJOIN(CHAR(10),TRUE,Table245[[#This Row],[exrf rho]:[exrf_cvs]])</f>
        <v/>
      </c>
    </row>
    <row r="22" spans="1:5" x14ac:dyDescent="0.25">
      <c r="A22" s="19">
        <v>20</v>
      </c>
      <c r="B22" s="19" t="s">
        <v>288</v>
      </c>
      <c r="E22" s="19" t="str">
        <f>_xlfn.TEXTJOIN(CHAR(10),TRUE,Table245[[#This Row],[exrf rho]:[exrf_cvs]])</f>
        <v>RF_pulses/hardpulse_flip195_pw1000.rho</v>
      </c>
    </row>
    <row r="23" spans="1:5" x14ac:dyDescent="0.25">
      <c r="A23" s="19">
        <v>21</v>
      </c>
      <c r="B23" s="19" t="s">
        <v>289</v>
      </c>
      <c r="E23" s="19" t="str">
        <f>_xlfn.TEXTJOIN(CHAR(10),TRUE,Table245[[#This Row],[exrf rho]:[exrf_cvs]])</f>
        <v>RF_pulses/hardpulse_flip176_pw904.rho</v>
      </c>
    </row>
    <row r="24" spans="1:5" x14ac:dyDescent="0.25">
      <c r="A24" s="19">
        <v>22</v>
      </c>
      <c r="B24" s="19" t="s">
        <v>290</v>
      </c>
      <c r="E24" s="19" t="str">
        <f>_xlfn.TEXTJOIN(CHAR(10),TRUE,Table245[[#This Row],[exrf rho]:[exrf_cvs]])</f>
        <v>RF_pulses/hardpulse_flip156_pw800.rho</v>
      </c>
    </row>
    <row r="25" spans="1:5" x14ac:dyDescent="0.25">
      <c r="A25" s="19">
        <v>23</v>
      </c>
      <c r="B25" s="19" t="s">
        <v>291</v>
      </c>
      <c r="E25" s="19" t="str">
        <f>_xlfn.TEXTJOIN(CHAR(10),TRUE,Table245[[#This Row],[exrf rho]:[exrf_cvs]])</f>
        <v>RF_pulses/hardpulse_flip137_pw704.rho</v>
      </c>
    </row>
    <row r="26" spans="1:5" x14ac:dyDescent="0.25">
      <c r="A26" s="19">
        <v>24</v>
      </c>
      <c r="B26" s="19" t="s">
        <v>292</v>
      </c>
      <c r="E26" s="19" t="str">
        <f>_xlfn.TEXTJOIN(CHAR(10),TRUE,Table245[[#This Row],[exrf rho]:[exrf_cvs]])</f>
        <v>RF_pulses/hardpulse_flip116_pw600.rho</v>
      </c>
    </row>
    <row r="27" spans="1:5" x14ac:dyDescent="0.25">
      <c r="A27" s="19">
        <v>25</v>
      </c>
      <c r="E27" s="19" t="str">
        <f>_xlfn.TEXTJOIN(CHAR(10),TRUE,Table245[[#This Row],[exrf rho]:[exrf_cvs]])</f>
        <v/>
      </c>
    </row>
    <row r="28" spans="1:5" x14ac:dyDescent="0.25">
      <c r="A28" s="19">
        <v>26</v>
      </c>
      <c r="E28" s="19" t="str">
        <f>_xlfn.TEXTJOIN(CHAR(10),TRUE,Table245[[#This Row],[exrf rho]:[exrf_cvs]])</f>
        <v/>
      </c>
    </row>
    <row r="29" spans="1:5" x14ac:dyDescent="0.25">
      <c r="A29" s="19">
        <v>27</v>
      </c>
      <c r="E29" s="19" t="str">
        <f>_xlfn.TEXTJOIN(CHAR(10),TRUE,Table245[[#This Row],[exrf rho]:[exrf_cvs]])</f>
        <v/>
      </c>
    </row>
    <row r="30" spans="1:5" x14ac:dyDescent="0.25">
      <c r="A30" s="19">
        <v>28</v>
      </c>
      <c r="E30" s="19" t="str">
        <f>_xlfn.TEXTJOIN(CHAR(10),TRUE,Table245[[#This Row],[exrf rho]:[exrf_cvs]])</f>
        <v/>
      </c>
    </row>
    <row r="31" spans="1:5" x14ac:dyDescent="0.25">
      <c r="A31" s="19">
        <v>29</v>
      </c>
      <c r="E31" s="19" t="str">
        <f>_xlfn.TEXTJOIN(CHAR(10),TRUE,Table245[[#This Row],[exrf rho]:[exrf_cvs]])</f>
        <v/>
      </c>
    </row>
    <row r="32" spans="1:5" x14ac:dyDescent="0.25">
      <c r="A32" s="19">
        <v>30</v>
      </c>
      <c r="B32" s="19" t="s">
        <v>105</v>
      </c>
      <c r="E32" s="19" t="str">
        <f>_xlfn.TEXTJOIN(CHAR(10),TRUE,Table245[[#This Row],[exrf rho]:[exrf_cvs]])</f>
        <v>rffiles/129Xe_freq_5000hz_600us_3tbw.rho</v>
      </c>
    </row>
    <row r="33" spans="1:5" x14ac:dyDescent="0.25">
      <c r="A33" s="19">
        <v>31</v>
      </c>
      <c r="B33" s="19" t="s">
        <v>105</v>
      </c>
      <c r="E33" s="19" t="str">
        <f>_xlfn.TEXTJOIN(CHAR(10),TRUE,Table245[[#This Row],[exrf rho]:[exrf_cvs]])</f>
        <v>rffiles/129Xe_freq_5000hz_600us_3tbw.rho</v>
      </c>
    </row>
    <row r="34" spans="1:5" x14ac:dyDescent="0.25">
      <c r="A34" s="19">
        <v>32</v>
      </c>
      <c r="E34" s="19" t="str">
        <f>_xlfn.TEXTJOIN(CHAR(10),TRUE,Table245[[#This Row],[exrf rho]:[exrf_cvs]])</f>
        <v/>
      </c>
    </row>
    <row r="35" spans="1:5" x14ac:dyDescent="0.25">
      <c r="A35" s="19">
        <v>33</v>
      </c>
      <c r="E35" s="19" t="str">
        <f>_xlfn.TEXTJOIN(CHAR(10),TRUE,Table245[[#This Row],[exrf rho]:[exrf_cvs]])</f>
        <v/>
      </c>
    </row>
    <row r="36" spans="1:5" x14ac:dyDescent="0.25">
      <c r="A36" s="19">
        <v>34</v>
      </c>
      <c r="E36" s="19" t="str">
        <f>_xlfn.TEXTJOIN(CHAR(10),TRUE,Table245[[#This Row],[exrf rho]:[exrf_cvs]])</f>
        <v/>
      </c>
    </row>
    <row r="37" spans="1:5" x14ac:dyDescent="0.25">
      <c r="A37" s="19">
        <v>35</v>
      </c>
      <c r="E37" s="19" t="str">
        <f>_xlfn.TEXTJOIN(CHAR(10),TRUE,Table245[[#This Row],[exrf rho]:[exrf_cvs]])</f>
        <v/>
      </c>
    </row>
    <row r="38" spans="1:5" x14ac:dyDescent="0.25">
      <c r="A38" s="19">
        <v>36</v>
      </c>
      <c r="E38" s="19" t="str">
        <f>_xlfn.TEXTJOIN(CHAR(10),TRUE,Table245[[#This Row],[exrf rho]:[exrf_cvs]])</f>
        <v/>
      </c>
    </row>
    <row r="39" spans="1:5" x14ac:dyDescent="0.25">
      <c r="A39" s="19">
        <v>37</v>
      </c>
      <c r="E39" s="19" t="str">
        <f>_xlfn.TEXTJOIN(CHAR(10),TRUE,Table245[[#This Row],[exrf rho]:[exrf_cvs]])</f>
        <v/>
      </c>
    </row>
    <row r="40" spans="1:5" x14ac:dyDescent="0.25">
      <c r="A40" s="19">
        <v>38</v>
      </c>
      <c r="E40" s="19" t="str">
        <f>_xlfn.TEXTJOIN(CHAR(10),TRUE,Table245[[#This Row],[exrf rho]:[exrf_cvs]])</f>
        <v/>
      </c>
    </row>
    <row r="41" spans="1:5" x14ac:dyDescent="0.25">
      <c r="A41" s="19">
        <v>39</v>
      </c>
      <c r="E41" s="19" t="str">
        <f>_xlfn.TEXTJOIN(CHAR(10),TRUE,Table245[[#This Row],[exrf rho]:[exrf_cvs]])</f>
        <v/>
      </c>
    </row>
    <row r="42" spans="1:5" x14ac:dyDescent="0.25">
      <c r="A42" s="19">
        <v>40</v>
      </c>
      <c r="B42" s="19" t="s">
        <v>105</v>
      </c>
      <c r="E42" s="19" t="str">
        <f>_xlfn.TEXTJOIN(CHAR(10),TRUE,Table245[[#This Row],[exrf rho]:[exrf_cvs]])</f>
        <v>rffiles/129Xe_freq_5000hz_600us_3tbw.rho</v>
      </c>
    </row>
    <row r="43" spans="1:5" x14ac:dyDescent="0.25">
      <c r="A43" s="19">
        <v>41</v>
      </c>
      <c r="E43" s="19" t="str">
        <f>_xlfn.TEXTJOIN(CHAR(10),TRUE,Table245[[#This Row],[exrf rho]:[exrf_cvs]])</f>
        <v/>
      </c>
    </row>
    <row r="44" spans="1:5" x14ac:dyDescent="0.25">
      <c r="A44" s="19">
        <v>42</v>
      </c>
      <c r="E44" s="19" t="str">
        <f>_xlfn.TEXTJOIN(CHAR(10),TRUE,Table245[[#This Row],[exrf rho]:[exrf_cvs]])</f>
        <v/>
      </c>
    </row>
    <row r="45" spans="1:5" x14ac:dyDescent="0.25">
      <c r="A45" s="19">
        <v>43</v>
      </c>
      <c r="E45" s="19" t="str">
        <f>_xlfn.TEXTJOIN(CHAR(10),TRUE,Table245[[#This Row],[exrf rho]:[exrf_cvs]])</f>
        <v/>
      </c>
    </row>
    <row r="46" spans="1:5" x14ac:dyDescent="0.25">
      <c r="A46" s="19">
        <v>44</v>
      </c>
      <c r="E46" s="19" t="str">
        <f>_xlfn.TEXTJOIN(CHAR(10),TRUE,Table245[[#This Row],[exrf rho]:[exrf_cvs]])</f>
        <v/>
      </c>
    </row>
    <row r="47" spans="1:5" x14ac:dyDescent="0.25">
      <c r="A47" s="19">
        <v>45</v>
      </c>
      <c r="E47" s="19" t="str">
        <f>_xlfn.TEXTJOIN(CHAR(10),TRUE,Table245[[#This Row],[exrf rho]:[exrf_cvs]])</f>
        <v/>
      </c>
    </row>
    <row r="48" spans="1:5" x14ac:dyDescent="0.25">
      <c r="A48" s="19">
        <v>46</v>
      </c>
      <c r="E48" s="19" t="str">
        <f>_xlfn.TEXTJOIN(CHAR(10),TRUE,Table245[[#This Row],[exrf rho]:[exrf_cvs]])</f>
        <v/>
      </c>
    </row>
    <row r="49" spans="1:5" x14ac:dyDescent="0.25">
      <c r="A49" s="19">
        <v>47</v>
      </c>
      <c r="E49" s="19" t="str">
        <f>_xlfn.TEXTJOIN(CHAR(10),TRUE,Table245[[#This Row],[exrf rho]:[exrf_cvs]])</f>
        <v/>
      </c>
    </row>
    <row r="50" spans="1:5" x14ac:dyDescent="0.25">
      <c r="A50" s="19">
        <v>48</v>
      </c>
      <c r="E50" s="19" t="str">
        <f>_xlfn.TEXTJOIN(CHAR(10),TRUE,Table245[[#This Row],[exrf rho]:[exrf_cvs]])</f>
        <v/>
      </c>
    </row>
    <row r="51" spans="1:5" x14ac:dyDescent="0.25">
      <c r="A51" s="19">
        <v>49</v>
      </c>
      <c r="E51" s="19" t="str">
        <f>_xlfn.TEXTJOIN(CHAR(10),TRUE,Table245[[#This Row],[exrf rho]:[exrf_cvs]])</f>
        <v/>
      </c>
    </row>
    <row r="52" spans="1:5" x14ac:dyDescent="0.25">
      <c r="A52" s="19">
        <v>50</v>
      </c>
      <c r="E52" s="19" t="str">
        <f>_xlfn.TEXTJOIN(CHAR(10),TRUE,Table245[[#This Row],[exrf rho]:[exrf_cvs]])</f>
        <v/>
      </c>
    </row>
    <row r="53" spans="1:5" x14ac:dyDescent="0.25">
      <c r="A53" s="19">
        <v>51</v>
      </c>
      <c r="E53" s="19" t="str">
        <f>_xlfn.TEXTJOIN(CHAR(10),TRUE,Table245[[#This Row],[exrf rho]:[exrf_cvs]])</f>
        <v/>
      </c>
    </row>
    <row r="54" spans="1:5" x14ac:dyDescent="0.25">
      <c r="A54" s="19">
        <v>52</v>
      </c>
      <c r="B54" s="19" t="s">
        <v>105</v>
      </c>
      <c r="E54" s="19" t="str">
        <f>_xlfn.TEXTJOIN(CHAR(10),TRUE,Table245[[#This Row],[exrf rho]:[exrf_cvs]])</f>
        <v>rffiles/129Xe_freq_5000hz_600us_3tbw.rho</v>
      </c>
    </row>
    <row r="55" spans="1:5" x14ac:dyDescent="0.25">
      <c r="A55" s="19">
        <v>53</v>
      </c>
      <c r="B55" s="19" t="s">
        <v>105</v>
      </c>
      <c r="E55" s="19" t="str">
        <f>_xlfn.TEXTJOIN(CHAR(10),TRUE,Table245[[#This Row],[exrf rho]:[exrf_cvs]])</f>
        <v>rffiles/129Xe_freq_5000hz_600us_3tbw.rho</v>
      </c>
    </row>
    <row r="56" spans="1:5" x14ac:dyDescent="0.25">
      <c r="A56" s="19">
        <v>54</v>
      </c>
      <c r="E56" s="19" t="str">
        <f>_xlfn.TEXTJOIN(CHAR(10),TRUE,Table245[[#This Row],[exrf rho]:[exrf_cvs]])</f>
        <v/>
      </c>
    </row>
    <row r="57" spans="1:5" x14ac:dyDescent="0.25">
      <c r="A57" s="19">
        <v>55</v>
      </c>
      <c r="B57" s="19" t="s">
        <v>105</v>
      </c>
      <c r="E57" s="19" t="str">
        <f>_xlfn.TEXTJOIN(CHAR(10),TRUE,Table245[[#This Row],[exrf rho]:[exrf_cvs]])</f>
        <v>rffiles/129Xe_freq_5000hz_600us_3tbw.rho</v>
      </c>
    </row>
    <row r="58" spans="1:5" x14ac:dyDescent="0.25">
      <c r="A58" s="19">
        <v>56</v>
      </c>
      <c r="B58" s="19" t="s">
        <v>105</v>
      </c>
      <c r="E58" s="19" t="str">
        <f>_xlfn.TEXTJOIN(CHAR(10),TRUE,Table245[[#This Row],[exrf rho]:[exrf_cvs]])</f>
        <v>rffiles/129Xe_freq_5000hz_600us_3tbw.rho</v>
      </c>
    </row>
    <row r="59" spans="1:5" x14ac:dyDescent="0.25">
      <c r="A59" s="19">
        <v>57</v>
      </c>
      <c r="B59" s="19" t="s">
        <v>105</v>
      </c>
      <c r="E59" s="19" t="str">
        <f>_xlfn.TEXTJOIN(CHAR(10),TRUE,Table245[[#This Row],[exrf rho]:[exrf_cvs]])</f>
        <v>rffiles/129Xe_freq_5000hz_600us_3tbw.rho</v>
      </c>
    </row>
    <row r="60" spans="1:5" x14ac:dyDescent="0.25">
      <c r="A60" s="19">
        <v>58</v>
      </c>
      <c r="B60" s="19" t="s">
        <v>105</v>
      </c>
      <c r="E60" s="19" t="str">
        <f>_xlfn.TEXTJOIN(CHAR(10),TRUE,Table245[[#This Row],[exrf rho]:[exrf_cvs]])</f>
        <v>rffiles/129Xe_freq_5000hz_600us_3tbw.rho</v>
      </c>
    </row>
    <row r="61" spans="1:5" x14ac:dyDescent="0.25">
      <c r="A61" s="19">
        <v>59</v>
      </c>
      <c r="E61" s="19" t="str">
        <f>_xlfn.TEXTJOIN(CHAR(10),TRUE,Table245[[#This Row],[exrf rho]:[exrf_cvs]])</f>
        <v/>
      </c>
    </row>
    <row r="62" spans="1:5" x14ac:dyDescent="0.25">
      <c r="A62" s="19">
        <v>60</v>
      </c>
      <c r="E62" s="19" t="str">
        <f>_xlfn.TEXTJOIN(CHAR(10),TRUE,Table245[[#This Row],[exrf rho]:[exrf_cvs]])</f>
        <v/>
      </c>
    </row>
    <row r="63" spans="1:5" x14ac:dyDescent="0.25">
      <c r="A63" s="19">
        <v>61</v>
      </c>
      <c r="E63" s="19" t="str">
        <f>_xlfn.TEXTJOIN(CHAR(10),TRUE,Table245[[#This Row],[exrf rho]:[exrf_cvs]])</f>
        <v/>
      </c>
    </row>
    <row r="64" spans="1:5" x14ac:dyDescent="0.25">
      <c r="A64" s="19">
        <v>62</v>
      </c>
      <c r="E64" s="19" t="str">
        <f>_xlfn.TEXTJOIN(CHAR(10),TRUE,Table245[[#This Row],[exrf rho]:[exrf_cvs]])</f>
        <v/>
      </c>
    </row>
    <row r="65" spans="1:5" x14ac:dyDescent="0.25">
      <c r="A65" s="19">
        <v>63</v>
      </c>
      <c r="E65" s="19" t="str">
        <f>_xlfn.TEXTJOIN(CHAR(10),TRUE,Table245[[#This Row],[exrf rho]:[exrf_cvs]])</f>
        <v/>
      </c>
    </row>
    <row r="66" spans="1:5" x14ac:dyDescent="0.25">
      <c r="A66" s="19">
        <v>64</v>
      </c>
      <c r="E66" s="19" t="str">
        <f>_xlfn.TEXTJOIN(CHAR(10),TRUE,Table245[[#This Row],[exrf rho]:[exrf_cvs]])</f>
        <v/>
      </c>
    </row>
    <row r="67" spans="1:5" x14ac:dyDescent="0.25">
      <c r="A67" s="19">
        <v>65</v>
      </c>
      <c r="E67" s="19" t="str">
        <f>_xlfn.TEXTJOIN(CHAR(10),TRUE,Table245[[#This Row],[exrf rho]:[exrf_cvs]])</f>
        <v/>
      </c>
    </row>
    <row r="68" spans="1:5" x14ac:dyDescent="0.25">
      <c r="A68" s="19">
        <v>66</v>
      </c>
      <c r="B68" s="19" t="s">
        <v>105</v>
      </c>
      <c r="E68" s="19" t="str">
        <f>_xlfn.TEXTJOIN(CHAR(10),TRUE,Table245[[#This Row],[exrf rho]:[exrf_cvs]])</f>
        <v>rffiles/129Xe_freq_5000hz_600us_3tbw.rho</v>
      </c>
    </row>
    <row r="69" spans="1:5" x14ac:dyDescent="0.25">
      <c r="A69" s="19">
        <v>67</v>
      </c>
      <c r="E69" s="19" t="str">
        <f>_xlfn.TEXTJOIN(CHAR(10),TRUE,Table245[[#This Row],[exrf rho]:[exrf_cvs]])</f>
        <v/>
      </c>
    </row>
    <row r="70" spans="1:5" x14ac:dyDescent="0.25">
      <c r="A70" s="19">
        <v>68</v>
      </c>
      <c r="E70" s="19" t="str">
        <f>_xlfn.TEXTJOIN(CHAR(10),TRUE,Table245[[#This Row],[exrf rho]:[exrf_cvs]])</f>
        <v/>
      </c>
    </row>
    <row r="71" spans="1:5" x14ac:dyDescent="0.25">
      <c r="A71" s="19">
        <v>69</v>
      </c>
      <c r="E71" s="19" t="str">
        <f>_xlfn.TEXTJOIN(CHAR(10),TRUE,Table245[[#This Row],[exrf rho]:[exrf_cvs]])</f>
        <v/>
      </c>
    </row>
    <row r="72" spans="1:5" x14ac:dyDescent="0.25">
      <c r="A72" s="19">
        <v>70</v>
      </c>
      <c r="E72" s="19" t="str">
        <f>_xlfn.TEXTJOIN(CHAR(10),TRUE,Table245[[#This Row],[exrf rho]:[exrf_cvs]])</f>
        <v/>
      </c>
    </row>
    <row r="73" spans="1:5" x14ac:dyDescent="0.25">
      <c r="A73" s="19">
        <v>71</v>
      </c>
      <c r="E73" s="19" t="str">
        <f>_xlfn.TEXTJOIN(CHAR(10),TRUE,Table245[[#This Row],[exrf rho]:[exrf_cvs]])</f>
        <v/>
      </c>
    </row>
    <row r="74" spans="1:5" x14ac:dyDescent="0.25">
      <c r="A74" s="19">
        <v>72</v>
      </c>
      <c r="E74" s="19" t="str">
        <f>_xlfn.TEXTJOIN(CHAR(10),TRUE,Table245[[#This Row],[exrf rho]:[exrf_cvs]])</f>
        <v/>
      </c>
    </row>
    <row r="75" spans="1:5" x14ac:dyDescent="0.25">
      <c r="A75" s="19">
        <v>73</v>
      </c>
      <c r="E75" s="19" t="str">
        <f>_xlfn.TEXTJOIN(CHAR(10),TRUE,Table245[[#This Row],[exrf rho]:[exrf_cvs]])</f>
        <v/>
      </c>
    </row>
    <row r="76" spans="1:5" x14ac:dyDescent="0.25">
      <c r="A76" s="19">
        <v>74</v>
      </c>
      <c r="E76" s="19" t="str">
        <f>_xlfn.TEXTJOIN(CHAR(10),TRUE,Table245[[#This Row],[exrf rho]:[exrf_cvs]])</f>
        <v/>
      </c>
    </row>
    <row r="77" spans="1:5" x14ac:dyDescent="0.25">
      <c r="A77" s="19">
        <v>75</v>
      </c>
      <c r="E77" s="19" t="str">
        <f>_xlfn.TEXTJOIN(CHAR(10),TRUE,Table245[[#This Row],[exrf rho]:[exrf_cvs]])</f>
        <v/>
      </c>
    </row>
    <row r="78" spans="1:5" x14ac:dyDescent="0.25">
      <c r="A78" s="19">
        <v>76</v>
      </c>
      <c r="E78" s="19" t="str">
        <f>_xlfn.TEXTJOIN(CHAR(10),TRUE,Table245[[#This Row],[exrf rho]:[exrf_cvs]])</f>
        <v/>
      </c>
    </row>
    <row r="79" spans="1:5" x14ac:dyDescent="0.25">
      <c r="A79" s="19">
        <v>77</v>
      </c>
      <c r="E79" s="19" t="str">
        <f>_xlfn.TEXTJOIN(CHAR(10),TRUE,Table245[[#This Row],[exrf rho]:[exrf_cvs]])</f>
        <v/>
      </c>
    </row>
    <row r="80" spans="1:5" x14ac:dyDescent="0.25">
      <c r="A80" s="19">
        <v>78</v>
      </c>
      <c r="E80" s="19" t="str">
        <f>_xlfn.TEXTJOIN(CHAR(10),TRUE,Table245[[#This Row],[exrf rho]:[exrf_cvs]])</f>
        <v/>
      </c>
    </row>
    <row r="81" spans="1:5" x14ac:dyDescent="0.25">
      <c r="A81" s="19">
        <v>79</v>
      </c>
      <c r="E81" s="19" t="str">
        <f>_xlfn.TEXTJOIN(CHAR(10),TRUE,Table245[[#This Row],[exrf rho]:[exrf_cvs]])</f>
        <v/>
      </c>
    </row>
    <row r="82" spans="1:5" x14ac:dyDescent="0.25">
      <c r="A82" s="19">
        <v>80</v>
      </c>
      <c r="E82" s="19" t="str">
        <f>_xlfn.TEXTJOIN(CHAR(10),TRUE,Table245[[#This Row],[exrf rho]:[exrf_cvs]])</f>
        <v/>
      </c>
    </row>
    <row r="83" spans="1:5" x14ac:dyDescent="0.25">
      <c r="A83" s="19">
        <v>81</v>
      </c>
      <c r="E83" s="19" t="str">
        <f>_xlfn.TEXTJOIN(CHAR(10),TRUE,Table245[[#This Row],[exrf rho]:[exrf_cvs]])</f>
        <v/>
      </c>
    </row>
    <row r="84" spans="1:5" x14ac:dyDescent="0.25">
      <c r="A84" s="19">
        <v>82</v>
      </c>
      <c r="E84" s="19" t="str">
        <f>_xlfn.TEXTJOIN(CHAR(10),TRUE,Table245[[#This Row],[exrf rho]:[exrf_cvs]])</f>
        <v/>
      </c>
    </row>
    <row r="85" spans="1:5" x14ac:dyDescent="0.25">
      <c r="A85" s="19">
        <v>83</v>
      </c>
      <c r="E85" s="19" t="str">
        <f>_xlfn.TEXTJOIN(CHAR(10),TRUE,Table245[[#This Row],[exrf rho]:[exrf_cvs]])</f>
        <v/>
      </c>
    </row>
    <row r="86" spans="1:5" x14ac:dyDescent="0.25">
      <c r="A86" s="19">
        <v>84</v>
      </c>
      <c r="E86" s="19" t="str">
        <f>_xlfn.TEXTJOIN(CHAR(10),TRUE,Table245[[#This Row],[exrf rho]:[exrf_cvs]])</f>
        <v/>
      </c>
    </row>
    <row r="87" spans="1:5" x14ac:dyDescent="0.25">
      <c r="A87" s="19">
        <v>85</v>
      </c>
      <c r="E87" s="19" t="str">
        <f>_xlfn.TEXTJOIN(CHAR(10),TRUE,Table245[[#This Row],[exrf rho]:[exrf_cvs]])</f>
        <v/>
      </c>
    </row>
    <row r="88" spans="1:5" x14ac:dyDescent="0.25">
      <c r="A88" s="19">
        <v>86</v>
      </c>
      <c r="E88" s="19" t="str">
        <f>_xlfn.TEXTJOIN(CHAR(10),TRUE,Table245[[#This Row],[exrf rho]:[exrf_cvs]])</f>
        <v/>
      </c>
    </row>
    <row r="89" spans="1:5" x14ac:dyDescent="0.25">
      <c r="A89" s="19">
        <v>87</v>
      </c>
      <c r="E89" s="19" t="str">
        <f>_xlfn.TEXTJOIN(CHAR(10),TRUE,Table245[[#This Row],[exrf rho]:[exrf_cvs]])</f>
        <v/>
      </c>
    </row>
    <row r="90" spans="1:5" x14ac:dyDescent="0.25">
      <c r="A90" s="19">
        <v>88</v>
      </c>
      <c r="E90" s="19" t="str">
        <f>_xlfn.TEXTJOIN(CHAR(10),TRUE,Table245[[#This Row],[exrf rho]:[exrf_cvs]])</f>
        <v/>
      </c>
    </row>
    <row r="91" spans="1:5" x14ac:dyDescent="0.25">
      <c r="A91" s="19">
        <v>89</v>
      </c>
      <c r="E91" s="19" t="str">
        <f>_xlfn.TEXTJOIN(CHAR(10),TRUE,Table245[[#This Row],[exrf rho]:[exrf_cvs]])</f>
        <v/>
      </c>
    </row>
    <row r="92" spans="1:5" x14ac:dyDescent="0.25">
      <c r="A92" s="19">
        <v>90</v>
      </c>
      <c r="E92" s="19" t="str">
        <f>_xlfn.TEXTJOIN(CHAR(10),TRUE,Table245[[#This Row],[exrf rho]:[exrf_cvs]])</f>
        <v/>
      </c>
    </row>
    <row r="93" spans="1:5" x14ac:dyDescent="0.25">
      <c r="A93" s="19">
        <v>91</v>
      </c>
      <c r="E93" s="19" t="str">
        <f>_xlfn.TEXTJOIN(CHAR(10),TRUE,Table245[[#This Row],[exrf rho]:[exrf_cvs]])</f>
        <v/>
      </c>
    </row>
    <row r="94" spans="1:5" x14ac:dyDescent="0.25">
      <c r="A94" s="19">
        <v>92</v>
      </c>
      <c r="E94" s="19" t="str">
        <f>_xlfn.TEXTJOIN(CHAR(10),TRUE,Table245[[#This Row],[exrf rho]:[exrf_cvs]])</f>
        <v/>
      </c>
    </row>
    <row r="95" spans="1:5" x14ac:dyDescent="0.25">
      <c r="A95" s="19">
        <v>93</v>
      </c>
      <c r="E95" s="19" t="str">
        <f>_xlfn.TEXTJOIN(CHAR(10),TRUE,Table245[[#This Row],[exrf rho]:[exrf_cvs]])</f>
        <v/>
      </c>
    </row>
    <row r="96" spans="1:5" x14ac:dyDescent="0.25">
      <c r="A96" s="19">
        <v>94</v>
      </c>
      <c r="E96" s="19" t="str">
        <f>_xlfn.TEXTJOIN(CHAR(10),TRUE,Table245[[#This Row],[exrf rho]:[exrf_cvs]])</f>
        <v/>
      </c>
    </row>
    <row r="97" spans="1:5" x14ac:dyDescent="0.25">
      <c r="A97" s="19">
        <v>95</v>
      </c>
      <c r="E97" s="19" t="str">
        <f>_xlfn.TEXTJOIN(CHAR(10),TRUE,Table245[[#This Row],[exrf rho]:[exrf_cvs]])</f>
        <v/>
      </c>
    </row>
    <row r="98" spans="1:5" x14ac:dyDescent="0.25">
      <c r="A98" s="19">
        <v>96</v>
      </c>
      <c r="E98" s="19" t="str">
        <f>_xlfn.TEXTJOIN(CHAR(10),TRUE,Table245[[#This Row],[exrf rho]:[exrf_cvs]])</f>
        <v/>
      </c>
    </row>
    <row r="99" spans="1:5" x14ac:dyDescent="0.25">
      <c r="A99" s="19">
        <v>97</v>
      </c>
      <c r="E99" s="19" t="str">
        <f>_xlfn.TEXTJOIN(CHAR(10),TRUE,Table245[[#This Row],[exrf rho]:[exrf_cvs]])</f>
        <v/>
      </c>
    </row>
    <row r="100" spans="1:5" x14ac:dyDescent="0.25">
      <c r="A100" s="19">
        <v>98</v>
      </c>
      <c r="E100" s="19" t="str">
        <f>_xlfn.TEXTJOIN(CHAR(10),TRUE,Table245[[#This Row],[exrf rho]:[exrf_cvs]])</f>
        <v/>
      </c>
    </row>
    <row r="101" spans="1:5" x14ac:dyDescent="0.25">
      <c r="A101" s="19">
        <v>99</v>
      </c>
      <c r="E101" s="19" t="str">
        <f>_xlfn.TEXTJOIN(CHAR(10),TRUE,Table245[[#This Row],[exrf rho]:[exrf_cvs]])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95115-11AF-4CA8-94C1-6D8A9A056ACB}">
  <dimension ref="A1:B116"/>
  <sheetViews>
    <sheetView topLeftCell="A38" workbookViewId="0">
      <selection activeCell="E109" sqref="E109"/>
    </sheetView>
  </sheetViews>
  <sheetFormatPr defaultColWidth="9.140625" defaultRowHeight="12.75" x14ac:dyDescent="0.2"/>
  <cols>
    <col min="1" max="1" width="8.28515625" style="20" bestFit="1" customWidth="1"/>
    <col min="2" max="2" width="78.140625" style="20" bestFit="1" customWidth="1"/>
    <col min="3" max="16384" width="9.140625" style="20"/>
  </cols>
  <sheetData>
    <row r="1" spans="1:2" x14ac:dyDescent="0.2">
      <c r="A1" s="20" t="s">
        <v>229</v>
      </c>
      <c r="B1" s="20" t="s">
        <v>231</v>
      </c>
    </row>
    <row r="2" spans="1:2" x14ac:dyDescent="0.2">
      <c r="A2" s="20">
        <v>0</v>
      </c>
      <c r="B2" s="20" t="s">
        <v>10</v>
      </c>
    </row>
    <row r="3" spans="1:2" ht="38.25" x14ac:dyDescent="0.2">
      <c r="A3" s="20">
        <v>1</v>
      </c>
      <c r="B3" s="50" t="str">
        <f>_xlfn.TEXTJOIN(CHAR(10),TRUE,"/export/home/sdc/fidall/bin/stack_plot.py","/export/home/sdc/fidall/bin/recon_csi.py","/export/home/sdc/fidall/bin/recon_prescan.py")</f>
        <v>/export/home/sdc/fidall/bin/stack_plot.py
/export/home/sdc/fidall/bin/recon_csi.py
/export/home/sdc/fidall/bin/recon_prescan.py</v>
      </c>
    </row>
    <row r="4" spans="1:2" x14ac:dyDescent="0.2">
      <c r="A4" s="20">
        <v>2</v>
      </c>
      <c r="B4" s="20" t="s">
        <v>13</v>
      </c>
    </row>
    <row r="5" spans="1:2" x14ac:dyDescent="0.2">
      <c r="A5" s="20">
        <v>3</v>
      </c>
      <c r="B5" s="20" t="s">
        <v>13</v>
      </c>
    </row>
    <row r="6" spans="1:2" x14ac:dyDescent="0.2">
      <c r="A6" s="20">
        <v>4</v>
      </c>
      <c r="B6" s="20" t="s">
        <v>13</v>
      </c>
    </row>
    <row r="7" spans="1:2" x14ac:dyDescent="0.2">
      <c r="A7" s="20">
        <v>5</v>
      </c>
      <c r="B7" s="20" t="s">
        <v>13</v>
      </c>
    </row>
    <row r="8" spans="1:2" x14ac:dyDescent="0.2">
      <c r="A8" s="20">
        <v>6</v>
      </c>
      <c r="B8" s="20" t="s">
        <v>13</v>
      </c>
    </row>
    <row r="9" spans="1:2" x14ac:dyDescent="0.2">
      <c r="A9" s="20">
        <v>7</v>
      </c>
      <c r="B9" s="20" t="s">
        <v>21</v>
      </c>
    </row>
    <row r="10" spans="1:2" x14ac:dyDescent="0.2">
      <c r="A10" s="20">
        <v>8</v>
      </c>
      <c r="B10" s="20" t="s">
        <v>21</v>
      </c>
    </row>
    <row r="11" spans="1:2" x14ac:dyDescent="0.2">
      <c r="A11" s="20">
        <v>9</v>
      </c>
      <c r="B11" s="20" t="s">
        <v>21</v>
      </c>
    </row>
    <row r="12" spans="1:2" x14ac:dyDescent="0.2">
      <c r="A12" s="20">
        <v>10</v>
      </c>
      <c r="B12" s="20" t="s">
        <v>21</v>
      </c>
    </row>
    <row r="13" spans="1:2" x14ac:dyDescent="0.2">
      <c r="A13" s="20">
        <v>11</v>
      </c>
      <c r="B13" s="20" t="s">
        <v>21</v>
      </c>
    </row>
    <row r="14" spans="1:2" x14ac:dyDescent="0.2">
      <c r="A14" s="20">
        <v>12</v>
      </c>
    </row>
    <row r="15" spans="1:2" x14ac:dyDescent="0.2">
      <c r="A15" s="20">
        <v>13</v>
      </c>
      <c r="B15" s="20" t="s">
        <v>37</v>
      </c>
    </row>
    <row r="16" spans="1:2" x14ac:dyDescent="0.2">
      <c r="A16" s="20">
        <v>14</v>
      </c>
    </row>
    <row r="17" spans="1:2" x14ac:dyDescent="0.2">
      <c r="A17" s="20">
        <v>15</v>
      </c>
      <c r="B17" s="20" t="s">
        <v>271</v>
      </c>
    </row>
    <row r="18" spans="1:2" x14ac:dyDescent="0.2">
      <c r="A18" s="20">
        <v>16</v>
      </c>
      <c r="B18" s="20" t="s">
        <v>41</v>
      </c>
    </row>
    <row r="19" spans="1:2" x14ac:dyDescent="0.2">
      <c r="A19" s="20">
        <v>17</v>
      </c>
      <c r="B19" s="20" t="s">
        <v>53</v>
      </c>
    </row>
    <row r="20" spans="1:2" x14ac:dyDescent="0.2">
      <c r="A20" s="20">
        <v>18</v>
      </c>
      <c r="B20" s="20" t="s">
        <v>21</v>
      </c>
    </row>
    <row r="21" spans="1:2" x14ac:dyDescent="0.2">
      <c r="A21" s="20">
        <v>19</v>
      </c>
      <c r="B21" s="20" t="s">
        <v>21</v>
      </c>
    </row>
    <row r="22" spans="1:2" x14ac:dyDescent="0.2">
      <c r="A22" s="20">
        <v>20</v>
      </c>
      <c r="B22" s="20" t="s">
        <v>64</v>
      </c>
    </row>
    <row r="23" spans="1:2" x14ac:dyDescent="0.2">
      <c r="A23" s="20">
        <v>21</v>
      </c>
      <c r="B23" s="20" t="s">
        <v>64</v>
      </c>
    </row>
    <row r="24" spans="1:2" x14ac:dyDescent="0.2">
      <c r="A24" s="20">
        <v>22</v>
      </c>
      <c r="B24" s="20" t="s">
        <v>67</v>
      </c>
    </row>
    <row r="25" spans="1:2" x14ac:dyDescent="0.2">
      <c r="A25" s="20">
        <v>23</v>
      </c>
      <c r="B25" s="20" t="s">
        <v>67</v>
      </c>
    </row>
    <row r="26" spans="1:2" x14ac:dyDescent="0.2">
      <c r="A26" s="20">
        <v>24</v>
      </c>
      <c r="B26" s="20" t="s">
        <v>67</v>
      </c>
    </row>
    <row r="27" spans="1:2" x14ac:dyDescent="0.2">
      <c r="A27" s="20">
        <v>25</v>
      </c>
      <c r="B27" s="20" t="s">
        <v>21</v>
      </c>
    </row>
    <row r="28" spans="1:2" x14ac:dyDescent="0.2">
      <c r="A28" s="20">
        <v>26</v>
      </c>
      <c r="B28" s="20" t="s">
        <v>21</v>
      </c>
    </row>
    <row r="29" spans="1:2" x14ac:dyDescent="0.2">
      <c r="A29" s="20">
        <v>27</v>
      </c>
      <c r="B29" s="20" t="s">
        <v>80</v>
      </c>
    </row>
    <row r="30" spans="1:2" x14ac:dyDescent="0.2">
      <c r="A30" s="20">
        <v>28</v>
      </c>
      <c r="B30" s="20" t="s">
        <v>37</v>
      </c>
    </row>
    <row r="31" spans="1:2" x14ac:dyDescent="0.2">
      <c r="A31" s="20">
        <v>29</v>
      </c>
      <c r="B31" s="20" t="s">
        <v>21</v>
      </c>
    </row>
    <row r="32" spans="1:2" x14ac:dyDescent="0.2">
      <c r="A32" s="20">
        <v>30</v>
      </c>
      <c r="B32" s="20" t="s">
        <v>272</v>
      </c>
    </row>
    <row r="33" spans="1:2" x14ac:dyDescent="0.2">
      <c r="A33" s="20">
        <v>31</v>
      </c>
      <c r="B33" s="20" t="s">
        <v>272</v>
      </c>
    </row>
    <row r="34" spans="1:2" x14ac:dyDescent="0.2">
      <c r="A34" s="20">
        <v>32</v>
      </c>
    </row>
    <row r="35" spans="1:2" x14ac:dyDescent="0.2">
      <c r="A35" s="20">
        <v>33</v>
      </c>
    </row>
    <row r="36" spans="1:2" x14ac:dyDescent="0.2">
      <c r="A36" s="20">
        <v>34</v>
      </c>
    </row>
    <row r="37" spans="1:2" x14ac:dyDescent="0.2">
      <c r="A37" s="20">
        <v>35</v>
      </c>
      <c r="B37" s="20" t="s">
        <v>273</v>
      </c>
    </row>
    <row r="38" spans="1:2" x14ac:dyDescent="0.2">
      <c r="A38" s="20">
        <v>36</v>
      </c>
      <c r="B38" s="20" t="s">
        <v>273</v>
      </c>
    </row>
    <row r="39" spans="1:2" x14ac:dyDescent="0.2">
      <c r="A39" s="20">
        <v>37</v>
      </c>
      <c r="B39" s="20" t="s">
        <v>273</v>
      </c>
    </row>
    <row r="40" spans="1:2" x14ac:dyDescent="0.2">
      <c r="A40" s="20">
        <v>38</v>
      </c>
      <c r="B40" s="20" t="s">
        <v>273</v>
      </c>
    </row>
    <row r="41" spans="1:2" x14ac:dyDescent="0.2">
      <c r="A41" s="20">
        <v>39</v>
      </c>
      <c r="B41" s="20" t="s">
        <v>273</v>
      </c>
    </row>
    <row r="42" spans="1:2" x14ac:dyDescent="0.2">
      <c r="A42" s="20">
        <v>40</v>
      </c>
      <c r="B42" s="20" t="s">
        <v>274</v>
      </c>
    </row>
    <row r="43" spans="1:2" x14ac:dyDescent="0.2">
      <c r="A43" s="20">
        <v>41</v>
      </c>
      <c r="B43" s="20" t="s">
        <v>275</v>
      </c>
    </row>
    <row r="44" spans="1:2" x14ac:dyDescent="0.2">
      <c r="A44" s="20">
        <v>42</v>
      </c>
      <c r="B44" s="20" t="s">
        <v>275</v>
      </c>
    </row>
    <row r="45" spans="1:2" x14ac:dyDescent="0.2">
      <c r="A45" s="20">
        <v>43</v>
      </c>
      <c r="B45" s="20" t="s">
        <v>275</v>
      </c>
    </row>
    <row r="46" spans="1:2" x14ac:dyDescent="0.2">
      <c r="A46" s="20">
        <v>44</v>
      </c>
    </row>
    <row r="47" spans="1:2" x14ac:dyDescent="0.2">
      <c r="A47" s="20">
        <v>45</v>
      </c>
    </row>
    <row r="48" spans="1:2" x14ac:dyDescent="0.2">
      <c r="A48" s="20">
        <v>46</v>
      </c>
    </row>
    <row r="49" spans="1:2" x14ac:dyDescent="0.2">
      <c r="A49" s="20">
        <v>47</v>
      </c>
    </row>
    <row r="50" spans="1:2" x14ac:dyDescent="0.2">
      <c r="A50" s="20">
        <v>48</v>
      </c>
    </row>
    <row r="51" spans="1:2" x14ac:dyDescent="0.2">
      <c r="A51" s="20">
        <v>49</v>
      </c>
    </row>
    <row r="52" spans="1:2" x14ac:dyDescent="0.2">
      <c r="A52" s="20">
        <v>50</v>
      </c>
    </row>
    <row r="53" spans="1:2" x14ac:dyDescent="0.2">
      <c r="A53" s="20">
        <v>51</v>
      </c>
    </row>
    <row r="54" spans="1:2" x14ac:dyDescent="0.2">
      <c r="A54" s="20">
        <v>52</v>
      </c>
      <c r="B54" s="20" t="s">
        <v>272</v>
      </c>
    </row>
    <row r="55" spans="1:2" x14ac:dyDescent="0.2">
      <c r="A55" s="20">
        <v>53</v>
      </c>
      <c r="B55" s="20" t="s">
        <v>274</v>
      </c>
    </row>
    <row r="56" spans="1:2" x14ac:dyDescent="0.2">
      <c r="A56" s="20">
        <v>54</v>
      </c>
    </row>
    <row r="57" spans="1:2" x14ac:dyDescent="0.2">
      <c r="A57" s="20">
        <v>55</v>
      </c>
      <c r="B57" s="20" t="s">
        <v>53</v>
      </c>
    </row>
    <row r="58" spans="1:2" x14ac:dyDescent="0.2">
      <c r="A58" s="20">
        <v>56</v>
      </c>
      <c r="B58" s="20" t="s">
        <v>53</v>
      </c>
    </row>
    <row r="59" spans="1:2" x14ac:dyDescent="0.2">
      <c r="A59" s="20">
        <v>57</v>
      </c>
      <c r="B59" s="20" t="s">
        <v>53</v>
      </c>
    </row>
    <row r="60" spans="1:2" x14ac:dyDescent="0.2">
      <c r="A60" s="20">
        <v>58</v>
      </c>
      <c r="B60" s="20" t="s">
        <v>53</v>
      </c>
    </row>
    <row r="61" spans="1:2" x14ac:dyDescent="0.2">
      <c r="A61" s="20">
        <v>59</v>
      </c>
    </row>
    <row r="62" spans="1:2" x14ac:dyDescent="0.2">
      <c r="A62" s="20">
        <v>60</v>
      </c>
    </row>
    <row r="63" spans="1:2" x14ac:dyDescent="0.2">
      <c r="A63" s="20">
        <v>61</v>
      </c>
    </row>
    <row r="64" spans="1:2" x14ac:dyDescent="0.2">
      <c r="A64" s="20">
        <v>62</v>
      </c>
    </row>
    <row r="65" spans="1:2" x14ac:dyDescent="0.2">
      <c r="A65" s="20">
        <v>63</v>
      </c>
    </row>
    <row r="66" spans="1:2" x14ac:dyDescent="0.2">
      <c r="A66" s="20">
        <v>64</v>
      </c>
    </row>
    <row r="67" spans="1:2" x14ac:dyDescent="0.2">
      <c r="A67" s="20">
        <v>65</v>
      </c>
    </row>
    <row r="68" spans="1:2" x14ac:dyDescent="0.2">
      <c r="A68" s="20">
        <v>66</v>
      </c>
      <c r="B68" s="20" t="s">
        <v>274</v>
      </c>
    </row>
    <row r="69" spans="1:2" x14ac:dyDescent="0.2">
      <c r="A69" s="20">
        <v>67</v>
      </c>
      <c r="B69" s="20" t="s">
        <v>275</v>
      </c>
    </row>
    <row r="70" spans="1:2" x14ac:dyDescent="0.2">
      <c r="A70" s="20">
        <v>68</v>
      </c>
      <c r="B70" s="20" t="s">
        <v>276</v>
      </c>
    </row>
    <row r="71" spans="1:2" x14ac:dyDescent="0.2">
      <c r="A71" s="20">
        <v>69</v>
      </c>
    </row>
    <row r="72" spans="1:2" x14ac:dyDescent="0.2">
      <c r="A72" s="20">
        <v>70</v>
      </c>
      <c r="B72" s="20" t="s">
        <v>275</v>
      </c>
    </row>
    <row r="73" spans="1:2" x14ac:dyDescent="0.2">
      <c r="A73" s="20">
        <v>71</v>
      </c>
      <c r="B73" s="20" t="s">
        <v>275</v>
      </c>
    </row>
    <row r="74" spans="1:2" x14ac:dyDescent="0.2">
      <c r="A74" s="20">
        <v>72</v>
      </c>
      <c r="B74" s="20" t="s">
        <v>275</v>
      </c>
    </row>
    <row r="75" spans="1:2" x14ac:dyDescent="0.2">
      <c r="A75" s="20">
        <v>73</v>
      </c>
      <c r="B75" s="20" t="s">
        <v>275</v>
      </c>
    </row>
    <row r="76" spans="1:2" x14ac:dyDescent="0.2">
      <c r="A76" s="20">
        <v>74</v>
      </c>
      <c r="B76" s="20" t="s">
        <v>275</v>
      </c>
    </row>
    <row r="77" spans="1:2" x14ac:dyDescent="0.2">
      <c r="A77" s="20">
        <v>75</v>
      </c>
      <c r="B77" s="20" t="s">
        <v>275</v>
      </c>
    </row>
    <row r="78" spans="1:2" x14ac:dyDescent="0.2">
      <c r="A78" s="20">
        <v>76</v>
      </c>
      <c r="B78" s="20" t="s">
        <v>275</v>
      </c>
    </row>
    <row r="79" spans="1:2" x14ac:dyDescent="0.2">
      <c r="A79" s="20">
        <v>77</v>
      </c>
      <c r="B79" s="20" t="s">
        <v>275</v>
      </c>
    </row>
    <row r="80" spans="1:2" x14ac:dyDescent="0.2">
      <c r="A80" s="20">
        <v>78</v>
      </c>
      <c r="B80" s="20" t="s">
        <v>275</v>
      </c>
    </row>
    <row r="81" spans="1:2" x14ac:dyDescent="0.2">
      <c r="A81" s="20">
        <v>79</v>
      </c>
      <c r="B81" s="20" t="s">
        <v>275</v>
      </c>
    </row>
    <row r="82" spans="1:2" x14ac:dyDescent="0.2">
      <c r="A82" s="20">
        <v>80</v>
      </c>
    </row>
    <row r="83" spans="1:2" x14ac:dyDescent="0.2">
      <c r="A83" s="20">
        <v>81</v>
      </c>
    </row>
    <row r="84" spans="1:2" x14ac:dyDescent="0.2">
      <c r="A84" s="20">
        <v>82</v>
      </c>
    </row>
    <row r="85" spans="1:2" x14ac:dyDescent="0.2">
      <c r="A85" s="20">
        <v>83</v>
      </c>
    </row>
    <row r="86" spans="1:2" x14ac:dyDescent="0.2">
      <c r="A86" s="20">
        <v>84</v>
      </c>
    </row>
    <row r="87" spans="1:2" x14ac:dyDescent="0.2">
      <c r="A87" s="20">
        <v>85</v>
      </c>
    </row>
    <row r="88" spans="1:2" x14ac:dyDescent="0.2">
      <c r="A88" s="20">
        <v>86</v>
      </c>
    </row>
    <row r="89" spans="1:2" x14ac:dyDescent="0.2">
      <c r="A89" s="20">
        <v>87</v>
      </c>
    </row>
    <row r="90" spans="1:2" x14ac:dyDescent="0.2">
      <c r="A90" s="20">
        <v>88</v>
      </c>
    </row>
    <row r="91" spans="1:2" x14ac:dyDescent="0.2">
      <c r="A91" s="20">
        <v>89</v>
      </c>
    </row>
    <row r="92" spans="1:2" x14ac:dyDescent="0.2">
      <c r="A92" s="20">
        <v>90</v>
      </c>
    </row>
    <row r="93" spans="1:2" x14ac:dyDescent="0.2">
      <c r="A93" s="20">
        <v>91</v>
      </c>
    </row>
    <row r="94" spans="1:2" x14ac:dyDescent="0.2">
      <c r="A94" s="20">
        <v>92</v>
      </c>
    </row>
    <row r="95" spans="1:2" x14ac:dyDescent="0.2">
      <c r="A95" s="20">
        <v>93</v>
      </c>
    </row>
    <row r="96" spans="1:2" x14ac:dyDescent="0.2">
      <c r="A96" s="20">
        <v>94</v>
      </c>
    </row>
    <row r="97" spans="1:2" x14ac:dyDescent="0.2">
      <c r="A97" s="20">
        <v>95</v>
      </c>
    </row>
    <row r="98" spans="1:2" x14ac:dyDescent="0.2">
      <c r="A98" s="20">
        <v>96</v>
      </c>
    </row>
    <row r="99" spans="1:2" x14ac:dyDescent="0.2">
      <c r="A99" s="20">
        <v>97</v>
      </c>
    </row>
    <row r="100" spans="1:2" x14ac:dyDescent="0.2">
      <c r="A100" s="20">
        <v>98</v>
      </c>
    </row>
    <row r="101" spans="1:2" x14ac:dyDescent="0.2">
      <c r="A101" s="20">
        <v>99</v>
      </c>
    </row>
    <row r="102" spans="1:2" x14ac:dyDescent="0.2">
      <c r="A102" s="20">
        <v>100</v>
      </c>
      <c r="B102" s="20" t="s">
        <v>299</v>
      </c>
    </row>
    <row r="103" spans="1:2" x14ac:dyDescent="0.2">
      <c r="A103" s="20">
        <v>101</v>
      </c>
      <c r="B103" s="20" t="s">
        <v>300</v>
      </c>
    </row>
    <row r="104" spans="1:2" x14ac:dyDescent="0.2">
      <c r="A104" s="20">
        <v>102</v>
      </c>
      <c r="B104" s="20" t="s">
        <v>301</v>
      </c>
    </row>
    <row r="105" spans="1:2" x14ac:dyDescent="0.2">
      <c r="A105" s="20">
        <v>103</v>
      </c>
      <c r="B105" s="20" t="s">
        <v>302</v>
      </c>
    </row>
    <row r="106" spans="1:2" x14ac:dyDescent="0.2">
      <c r="A106" s="20">
        <v>104</v>
      </c>
      <c r="B106" s="20" t="s">
        <v>303</v>
      </c>
    </row>
    <row r="107" spans="1:2" x14ac:dyDescent="0.2">
      <c r="A107" s="20">
        <v>105</v>
      </c>
      <c r="B107" s="20" t="s">
        <v>304</v>
      </c>
    </row>
    <row r="108" spans="1:2" x14ac:dyDescent="0.2">
      <c r="A108" s="20">
        <v>106</v>
      </c>
      <c r="B108" s="20" t="s">
        <v>305</v>
      </c>
    </row>
    <row r="109" spans="1:2" x14ac:dyDescent="0.2">
      <c r="A109" s="20">
        <v>107</v>
      </c>
      <c r="B109" s="20" t="s">
        <v>306</v>
      </c>
    </row>
    <row r="110" spans="1:2" x14ac:dyDescent="0.2">
      <c r="A110" s="20">
        <v>108</v>
      </c>
      <c r="B110" s="20" t="s">
        <v>307</v>
      </c>
    </row>
    <row r="111" spans="1:2" x14ac:dyDescent="0.2">
      <c r="A111" s="20">
        <v>109</v>
      </c>
    </row>
    <row r="112" spans="1:2" x14ac:dyDescent="0.2">
      <c r="A112" s="20">
        <v>110</v>
      </c>
    </row>
    <row r="113" spans="1:2" x14ac:dyDescent="0.2">
      <c r="A113" s="20">
        <v>111</v>
      </c>
    </row>
    <row r="114" spans="1:2" x14ac:dyDescent="0.2">
      <c r="A114" s="20">
        <v>112</v>
      </c>
      <c r="B114" s="20" t="s">
        <v>308</v>
      </c>
    </row>
    <row r="115" spans="1:2" x14ac:dyDescent="0.2">
      <c r="A115" s="20">
        <v>113</v>
      </c>
      <c r="B115" s="20" t="s">
        <v>309</v>
      </c>
    </row>
    <row r="116" spans="1:2" x14ac:dyDescent="0.2">
      <c r="A116" s="20">
        <v>114</v>
      </c>
      <c r="B116" s="20" t="s">
        <v>310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C698-FBAB-413B-BA1A-33FCCDCC5E48}">
  <dimension ref="A1:K100"/>
  <sheetViews>
    <sheetView topLeftCell="A68" workbookViewId="0">
      <selection activeCell="E100" sqref="E100"/>
    </sheetView>
  </sheetViews>
  <sheetFormatPr defaultColWidth="9.140625" defaultRowHeight="12.75" x14ac:dyDescent="0.25"/>
  <cols>
    <col min="1" max="1" width="10" style="22" bestFit="1" customWidth="1"/>
    <col min="2" max="10" width="21.5703125" style="23" customWidth="1"/>
    <col min="11" max="11" width="125.85546875" style="24" bestFit="1" customWidth="1"/>
    <col min="12" max="16384" width="9.140625" style="22"/>
  </cols>
  <sheetData>
    <row r="1" spans="1:11" s="21" customFormat="1" x14ac:dyDescent="0.25">
      <c r="A1" s="21" t="s">
        <v>229</v>
      </c>
      <c r="B1" s="21" t="s">
        <v>7</v>
      </c>
      <c r="C1" s="21" t="s">
        <v>8</v>
      </c>
      <c r="D1" s="21" t="s">
        <v>9</v>
      </c>
      <c r="E1" s="21" t="s">
        <v>3</v>
      </c>
      <c r="F1" s="21" t="s">
        <v>6</v>
      </c>
      <c r="G1" s="21" t="s">
        <v>2</v>
      </c>
      <c r="H1" s="21" t="s">
        <v>4</v>
      </c>
      <c r="I1" s="21" t="s">
        <v>5</v>
      </c>
      <c r="J1" s="21" t="s">
        <v>1</v>
      </c>
      <c r="K1" s="18" t="s">
        <v>260</v>
      </c>
    </row>
    <row r="2" spans="1:11" x14ac:dyDescent="0.25">
      <c r="A2" s="22">
        <v>1</v>
      </c>
      <c r="K2" s="24" t="str">
        <f>_xlfn.TEXTJOIN(CHAR(10),TRUE,Table248[[#This Row],[vap_agx]:[vap_tr]])</f>
        <v/>
      </c>
    </row>
    <row r="3" spans="1:11" x14ac:dyDescent="0.25">
      <c r="A3" s="22">
        <v>2</v>
      </c>
      <c r="K3" s="24" t="str">
        <f>_xlfn.TEXTJOIN(CHAR(10),TRUE,Table248[[#This Row],[vap_agx]:[vap_tr]])</f>
        <v/>
      </c>
    </row>
    <row r="4" spans="1:11" x14ac:dyDescent="0.25">
      <c r="A4" s="22">
        <v>3</v>
      </c>
      <c r="K4" s="24" t="str">
        <f>_xlfn.TEXTJOIN(CHAR(10),TRUE,Table248[[#This Row],[vap_agx]:[vap_tr]])</f>
        <v/>
      </c>
    </row>
    <row r="5" spans="1:11" x14ac:dyDescent="0.25">
      <c r="A5" s="22">
        <v>4</v>
      </c>
      <c r="K5" s="24" t="str">
        <f>_xlfn.TEXTJOIN(CHAR(10),TRUE,Table248[[#This Row],[vap_agx]:[vap_tr]])</f>
        <v/>
      </c>
    </row>
    <row r="6" spans="1:11" x14ac:dyDescent="0.25">
      <c r="A6" s="22">
        <v>5</v>
      </c>
      <c r="K6" s="24" t="str">
        <f>_xlfn.TEXTJOIN(CHAR(10),TRUE,Table248[[#This Row],[vap_agx]:[vap_tr]])</f>
        <v/>
      </c>
    </row>
    <row r="7" spans="1:11" x14ac:dyDescent="0.25">
      <c r="A7" s="22">
        <v>6</v>
      </c>
      <c r="K7" s="24" t="str">
        <f>_xlfn.TEXTJOIN(CHAR(10),TRUE,Table248[[#This Row],[vap_agx]:[vap_tr]])</f>
        <v/>
      </c>
    </row>
    <row r="8" spans="1:11" x14ac:dyDescent="0.25">
      <c r="A8" s="22">
        <v>7</v>
      </c>
      <c r="K8" s="24" t="str">
        <f>_xlfn.TEXTJOIN(CHAR(10),TRUE,Table248[[#This Row],[vap_agx]:[vap_tr]])</f>
        <v/>
      </c>
    </row>
    <row r="9" spans="1:11" x14ac:dyDescent="0.25">
      <c r="A9" s="22">
        <v>8</v>
      </c>
      <c r="H9" s="23" t="s">
        <v>23</v>
      </c>
      <c r="K9" s="24" t="str">
        <f>_xlfn.TEXTJOIN(CHAR(10),TRUE,Table248[[#This Row],[vap_agx]:[vap_tr]])</f>
        <v>../waveforms/spiral/spiral_1H_fov200_mtx200_arms50_kdt2_gmax29_smax119_dur3p3_phi.fdl</v>
      </c>
    </row>
    <row r="10" spans="1:11" x14ac:dyDescent="0.25">
      <c r="A10" s="22">
        <v>9</v>
      </c>
      <c r="K10" s="24" t="str">
        <f>_xlfn.TEXTJOIN(CHAR(10),TRUE,Table248[[#This Row],[vap_agx]:[vap_tr]])</f>
        <v/>
      </c>
    </row>
    <row r="11" spans="1:11" x14ac:dyDescent="0.25">
      <c r="A11" s="22">
        <v>10</v>
      </c>
      <c r="H11" s="23" t="s">
        <v>28</v>
      </c>
      <c r="K11" s="24" t="str">
        <f>_xlfn.TEXTJOIN(CHAR(10),TRUE,Table248[[#This Row],[vap_agx]:[vap_tr]])</f>
        <v>../waveforms/mrp/radial2D_1H_fov200_mtx300_intlv1000_kdt4_gmax25_smax100_dur4p5_fsca_rew1_GA7_phi.fdl</v>
      </c>
    </row>
    <row r="12" spans="1:11" ht="38.25" x14ac:dyDescent="0.25">
      <c r="A12" s="22">
        <v>11</v>
      </c>
      <c r="D12" s="23" t="s">
        <v>34</v>
      </c>
      <c r="E12" s="23" t="s">
        <v>32</v>
      </c>
      <c r="H12" s="23" t="s">
        <v>33</v>
      </c>
      <c r="K12" s="24" t="str">
        <f>_xlfn.TEXTJOIN(CHAR(10),TRUE,Table248[[#This Row],[vap_agx]:[vap_tr]])</f>
        <v>../waveforms/mrp/radial4D_1H_fov200_53_mtx300_20_intlv40000_kdt4_gmax25_smax100_dur4p5_fsca_rew1_GA7_zPE3_agz.fdl
../waveforms/mrp/radial4D_1H_fov200_53_mtx300_20_intlv40000_kdt4_gmax25_smax100_dur4p5_fsca_rew1_GA7_zPE3_flip.fdl
../waveforms/mrp/radial4D_1H_fov200_53_mtx300_20_intlv40000_kdt4_gmax25_smax100_dur4p5_fsca_rew1_GA7_zPE3_phi.fdl</v>
      </c>
    </row>
    <row r="13" spans="1:11" x14ac:dyDescent="0.25">
      <c r="A13" s="22">
        <v>12</v>
      </c>
      <c r="K13" s="24" t="str">
        <f>_xlfn.TEXTJOIN(CHAR(10),TRUE,Table248[[#This Row],[vap_agx]:[vap_tr]])</f>
        <v/>
      </c>
    </row>
    <row r="14" spans="1:11" x14ac:dyDescent="0.25">
      <c r="A14" s="22">
        <v>13</v>
      </c>
      <c r="K14" s="24" t="str">
        <f>_xlfn.TEXTJOIN(CHAR(10),TRUE,Table248[[#This Row],[vap_agx]:[vap_tr]])</f>
        <v/>
      </c>
    </row>
    <row r="15" spans="1:11" x14ac:dyDescent="0.25">
      <c r="A15" s="22">
        <v>14</v>
      </c>
      <c r="K15" s="24" t="str">
        <f>_xlfn.TEXTJOIN(CHAR(10),TRUE,Table248[[#This Row],[vap_agx]:[vap_tr]])</f>
        <v/>
      </c>
    </row>
    <row r="16" spans="1:11" x14ac:dyDescent="0.25">
      <c r="A16" s="22">
        <v>15</v>
      </c>
      <c r="E16" s="23" t="s">
        <v>40</v>
      </c>
      <c r="K16" s="24" t="str">
        <f>_xlfn.TEXTJOIN(CHAR(10),TRUE,Table248[[#This Row],[vap_agx]:[vap_tr]])</f>
        <v>../waveforms/cart/vap_vfa80_30.fdl</v>
      </c>
    </row>
    <row r="17" spans="1:11" x14ac:dyDescent="0.25">
      <c r="A17" s="22">
        <v>16</v>
      </c>
      <c r="E17" s="23" t="s">
        <v>45</v>
      </c>
      <c r="K17" s="24" t="str">
        <f>_xlfn.TEXTJOIN(CHAR(10),TRUE,Table248[[#This Row],[vap_agx]:[vap_tr]])</f>
        <v>../waveforms/cart/vap_flip_ramp_ssfp_1928.fdl</v>
      </c>
    </row>
    <row r="18" spans="1:11" ht="51" x14ac:dyDescent="0.25">
      <c r="A18" s="22">
        <v>17</v>
      </c>
      <c r="B18" s="23" t="s">
        <v>50</v>
      </c>
      <c r="C18" s="23" t="s">
        <v>51</v>
      </c>
      <c r="D18" s="23" t="s">
        <v>52</v>
      </c>
      <c r="E18" s="23" t="s">
        <v>49</v>
      </c>
      <c r="K18" s="24" t="str">
        <f>_xlfn.TEXTJOIN(CHAR(10),TRUE,Table248[[#This Row],[vap_agx]:[vap_tr]])</f>
        <v>../waveforms/mrsi/mrsi3D_129Xe_scheme2_3_fov270_240_150_mtx18_16_10_bw20000_npts88_nexc1586_gmax16_smax87_crush2_agx.fdl
../waveforms/mrsi/mrsi3D_129Xe_scheme2_3_fov270_240_150_mtx18_16_10_bw20000_npts88_nexc1586_gmax16_smax87_crush2_agy.fdl
../waveforms/mrsi/mrsi3D_129Xe_scheme2_3_fov270_240_150_mtx18_16_10_bw20000_npts88_nexc1586_gmax16_smax87_crush2_agz.fdl
../waveforms/mrsi/vap_flip_10deg.fdl</v>
      </c>
    </row>
    <row r="19" spans="1:11" ht="38.25" x14ac:dyDescent="0.25">
      <c r="A19" s="22">
        <v>18</v>
      </c>
      <c r="G19" s="23" t="s">
        <v>56</v>
      </c>
      <c r="H19" s="23" t="s">
        <v>57</v>
      </c>
      <c r="I19" s="23" t="s">
        <v>58</v>
      </c>
      <c r="K19" s="24" t="str">
        <f>_xlfn.TEXTJOIN(CHAR(10),TRUE,Table248[[#This Row],[vap_agx]:[vap_tr]])</f>
        <v>../waveforms/radial/vap_phase_rand15684.fdl
../waveforms/radial/radial3D_1H_fov170_mtx200_intlv61712_kdt4_gmax32_smax120_dur1p3_coca_rew2_1_phi.fdl
../waveforms/radial/radial3D_1H_fov170_mtx200_intlv61712_kdt4_gmax32_smax120_dur1p3_coca_rew2_1_theta.fdl</v>
      </c>
    </row>
    <row r="20" spans="1:11" ht="38.25" x14ac:dyDescent="0.25">
      <c r="A20" s="22">
        <v>19</v>
      </c>
      <c r="G20" s="23" t="s">
        <v>56</v>
      </c>
      <c r="H20" s="23" t="s">
        <v>61</v>
      </c>
      <c r="I20" s="23" t="s">
        <v>62</v>
      </c>
      <c r="K20" s="24" t="str">
        <f>_xlfn.TEXTJOIN(CHAR(10),TRUE,Table248[[#This Row],[vap_agx]:[vap_tr]])</f>
        <v>../waveforms/radial/vap_phase_rand15684.fdl
../waveforms/radial/radial3D_23Na_fov159_mtx80_intlv20230_kdt24_gmax33_smax120_dur16p1_coda_rew2_1_phi.fdl
../waveforms/radial/radial3D_23Na_fov159_mtx80_intlv20230_kdt24_gmax33_smax120_dur16p1_coda_rew2_1_theta.fdl</v>
      </c>
    </row>
    <row r="21" spans="1:11" x14ac:dyDescent="0.25">
      <c r="A21" s="22">
        <v>20</v>
      </c>
      <c r="K21" s="24" t="str">
        <f>_xlfn.TEXTJOIN(CHAR(10),TRUE,Table248[[#This Row],[vap_agx]:[vap_tr]])</f>
        <v/>
      </c>
    </row>
    <row r="22" spans="1:11" x14ac:dyDescent="0.25">
      <c r="A22" s="22">
        <v>21</v>
      </c>
      <c r="K22" s="24" t="str">
        <f>_xlfn.TEXTJOIN(CHAR(10),TRUE,Table248[[#This Row],[vap_agx]:[vap_tr]])</f>
        <v/>
      </c>
    </row>
    <row r="23" spans="1:11" x14ac:dyDescent="0.25">
      <c r="A23" s="22">
        <v>22</v>
      </c>
      <c r="K23" s="24" t="str">
        <f>_xlfn.TEXTJOIN(CHAR(10),TRUE,Table248[[#This Row],[vap_agx]:[vap_tr]])</f>
        <v/>
      </c>
    </row>
    <row r="24" spans="1:11" x14ac:dyDescent="0.25">
      <c r="A24" s="22">
        <v>23</v>
      </c>
      <c r="K24" s="24" t="str">
        <f>_xlfn.TEXTJOIN(CHAR(10),TRUE,Table248[[#This Row],[vap_agx]:[vap_tr]])</f>
        <v/>
      </c>
    </row>
    <row r="25" spans="1:11" x14ac:dyDescent="0.25">
      <c r="A25" s="22">
        <v>24</v>
      </c>
      <c r="K25" s="24" t="str">
        <f>_xlfn.TEXTJOIN(CHAR(10),TRUE,Table248[[#This Row],[vap_agx]:[vap_tr]])</f>
        <v/>
      </c>
    </row>
    <row r="26" spans="1:11" ht="25.5" x14ac:dyDescent="0.25">
      <c r="A26" s="22">
        <v>25</v>
      </c>
      <c r="E26" s="23" t="s">
        <v>73</v>
      </c>
      <c r="J26" s="23" t="s">
        <v>72</v>
      </c>
      <c r="K26" s="24" t="str">
        <f>_xlfn.TEXTJOIN(CHAR(10),TRUE,Table248[[#This Row],[vap_agx]:[vap_tr]])</f>
        <v>../waveforms/mrp/fisp_mrf_flip.fdl
../waveforms/mrp/fisp_mrf_tr.fdl</v>
      </c>
    </row>
    <row r="27" spans="1:11" x14ac:dyDescent="0.25">
      <c r="A27" s="22">
        <v>26</v>
      </c>
      <c r="E27" s="23" t="s">
        <v>76</v>
      </c>
      <c r="K27" s="24" t="str">
        <f>_xlfn.TEXTJOIN(CHAR(10),TRUE,Table248[[#This Row],[vap_agx]:[vap_tr]])</f>
        <v>../waveforms/mrp/qti_Nreps_260_FA_7_70_flip.fdl</v>
      </c>
    </row>
    <row r="28" spans="1:11" x14ac:dyDescent="0.25">
      <c r="A28" s="22">
        <v>27</v>
      </c>
      <c r="E28" s="23" t="s">
        <v>79</v>
      </c>
      <c r="K28" s="24" t="str">
        <f>_xlfn.TEXTJOIN(CHAR(10),TRUE,Table248[[#This Row],[vap_agx]:[vap_tr]])</f>
        <v>../waveforms/grad_noise/vap_flip_zero.fdl</v>
      </c>
    </row>
    <row r="29" spans="1:11" x14ac:dyDescent="0.25">
      <c r="A29" s="22">
        <v>28</v>
      </c>
      <c r="K29" s="24" t="str">
        <f>_xlfn.TEXTJOIN(CHAR(10),TRUE,Table248[[#This Row],[vap_agx]:[vap_tr]])</f>
        <v/>
      </c>
    </row>
    <row r="30" spans="1:11" ht="38.25" x14ac:dyDescent="0.25">
      <c r="A30" s="22">
        <v>29</v>
      </c>
      <c r="E30" s="23" t="s">
        <v>84</v>
      </c>
      <c r="H30" s="23" t="s">
        <v>85</v>
      </c>
      <c r="I30" s="23" t="s">
        <v>86</v>
      </c>
      <c r="K30" s="24" t="str">
        <f>_xlfn.TEXTJOIN(CHAR(10),TRUE,Table248[[#This Row],[vap_agx]:[vap_tr]])</f>
        <v>../waveforms/mrp/ramp_flip70.fdl
../waveforms/mrp/3Dspiral_fov_256_npix_200_gmax_18_smax_60_nphi_880_phi.fdl
../waveforms/mrp/3Dspiral_fov_256_npix_200_gmax_18_smax_60_nphi_880_theta.fdl</v>
      </c>
    </row>
    <row r="31" spans="1:11" ht="25.5" x14ac:dyDescent="0.25">
      <c r="A31" s="22">
        <v>30</v>
      </c>
      <c r="F31" s="23" t="s">
        <v>89</v>
      </c>
      <c r="G31" s="23" t="s">
        <v>88</v>
      </c>
      <c r="K31" s="24" t="str">
        <f>_xlfn.TEXTJOIN(CHAR(10),TRUE,Table248[[#This Row],[vap_agx]:[vap_tr]])</f>
        <v>../waveforms/cal/cal_cpir_nexc520_ndiss500_dfreq202_freq.fdl
../waveforms/vap_rf_spoiling/vap_phase_rf_spoiling_262112.fdl</v>
      </c>
    </row>
    <row r="32" spans="1:11" ht="25.5" x14ac:dyDescent="0.25">
      <c r="A32" s="22">
        <v>31</v>
      </c>
      <c r="F32" s="23" t="s">
        <v>90</v>
      </c>
      <c r="G32" s="23" t="s">
        <v>88</v>
      </c>
      <c r="K32" s="24" t="str">
        <f>_xlfn.TEXTJOIN(CHAR(10),TRUE,Table248[[#This Row],[vap_agx]:[vap_tr]])</f>
        <v>../waveforms/cal/cal_xectc_nexc520_ndiss500_dfreq218_freq.fdl
../waveforms/vap_rf_spoiling/vap_phase_rf_spoiling_262112.fdl</v>
      </c>
    </row>
    <row r="33" spans="1:11" x14ac:dyDescent="0.25">
      <c r="A33" s="22">
        <v>32</v>
      </c>
      <c r="K33" s="24" t="str">
        <f>_xlfn.TEXTJOIN(CHAR(10),TRUE,Table248[[#This Row],[vap_agx]:[vap_tr]])</f>
        <v/>
      </c>
    </row>
    <row r="34" spans="1:11" x14ac:dyDescent="0.25">
      <c r="A34" s="22">
        <v>33</v>
      </c>
      <c r="K34" s="24" t="str">
        <f>_xlfn.TEXTJOIN(CHAR(10),TRUE,Table248[[#This Row],[vap_agx]:[vap_tr]])</f>
        <v/>
      </c>
    </row>
    <row r="35" spans="1:11" x14ac:dyDescent="0.25">
      <c r="A35" s="22">
        <v>34</v>
      </c>
      <c r="K35" s="24" t="str">
        <f>_xlfn.TEXTJOIN(CHAR(10),TRUE,Table248[[#This Row],[vap_agx]:[vap_tr]])</f>
        <v/>
      </c>
    </row>
    <row r="36" spans="1:11" x14ac:dyDescent="0.25">
      <c r="A36" s="22">
        <v>35</v>
      </c>
      <c r="G36" s="23" t="s">
        <v>88</v>
      </c>
      <c r="K36" s="24" t="str">
        <f>_xlfn.TEXTJOIN(CHAR(10),TRUE,Table248[[#This Row],[vap_agx]:[vap_tr]])</f>
        <v>../waveforms/vap_rf_spoiling/vap_phase_rf_spoiling_262112.fdl</v>
      </c>
    </row>
    <row r="37" spans="1:11" x14ac:dyDescent="0.25">
      <c r="A37" s="22">
        <v>36</v>
      </c>
      <c r="G37" s="23" t="s">
        <v>88</v>
      </c>
      <c r="K37" s="24" t="str">
        <f>_xlfn.TEXTJOIN(CHAR(10),TRUE,Table248[[#This Row],[vap_agx]:[vap_tr]])</f>
        <v>../waveforms/vap_rf_spoiling/vap_phase_rf_spoiling_262112.fdl</v>
      </c>
    </row>
    <row r="38" spans="1:11" x14ac:dyDescent="0.25">
      <c r="A38" s="22">
        <v>37</v>
      </c>
      <c r="G38" s="23" t="s">
        <v>88</v>
      </c>
      <c r="K38" s="24" t="str">
        <f>_xlfn.TEXTJOIN(CHAR(10),TRUE,Table248[[#This Row],[vap_agx]:[vap_tr]])</f>
        <v>../waveforms/vap_rf_spoiling/vap_phase_rf_spoiling_262112.fdl</v>
      </c>
    </row>
    <row r="39" spans="1:11" x14ac:dyDescent="0.25">
      <c r="A39" s="22">
        <v>38</v>
      </c>
      <c r="G39" s="23" t="s">
        <v>88</v>
      </c>
      <c r="K39" s="24" t="str">
        <f>_xlfn.TEXTJOIN(CHAR(10),TRUE,Table248[[#This Row],[vap_agx]:[vap_tr]])</f>
        <v>../waveforms/vap_rf_spoiling/vap_phase_rf_spoiling_262112.fdl</v>
      </c>
    </row>
    <row r="40" spans="1:11" x14ac:dyDescent="0.25">
      <c r="A40" s="22">
        <v>39</v>
      </c>
      <c r="G40" s="23" t="s">
        <v>88</v>
      </c>
      <c r="K40" s="24" t="str">
        <f>_xlfn.TEXTJOIN(CHAR(10),TRUE,Table248[[#This Row],[vap_agx]:[vap_tr]])</f>
        <v>../waveforms/vap_rf_spoiling/vap_phase_rf_spoiling_262112.fdl</v>
      </c>
    </row>
    <row r="41" spans="1:11" ht="38.25" x14ac:dyDescent="0.25">
      <c r="A41" s="22">
        <v>40</v>
      </c>
      <c r="E41" s="23" t="s">
        <v>100</v>
      </c>
      <c r="F41" s="23" t="s">
        <v>101</v>
      </c>
      <c r="G41" s="23" t="s">
        <v>99</v>
      </c>
      <c r="K41" s="24" t="str">
        <f>_xlfn.TEXTJOIN(CHAR(10),TRUE,Table248[[#This Row],[vap_agx]:[vap_tr]])</f>
        <v>../waveforms/gx_cpir_1ptDixon/interleaved_radial3D_129xe_fov325_mtx56_intlv2002_kdt18_gmax37_smax144_dur1p6_coca_rew2_1p25_GA5_flip.fdl
../waveforms/gx_cpir_1ptDixon/interleaved_radial3D_129xe_fov325_mtx56_intlv2002_kdt18_gmax37_smax144_dur1p6_coca_rew2_1p25_GA5_freq.fdl
../waveforms/gx_cpir_1ptDixon/vap_phase_rf_spoiling_262112.fdl</v>
      </c>
    </row>
    <row r="42" spans="1:11" ht="38.25" x14ac:dyDescent="0.25">
      <c r="A42" s="22">
        <v>41</v>
      </c>
      <c r="G42" s="23" t="s">
        <v>99</v>
      </c>
      <c r="H42" s="23" t="s">
        <v>103</v>
      </c>
      <c r="I42" s="23" t="s">
        <v>104</v>
      </c>
      <c r="K42" s="24" t="str">
        <f>_xlfn.TEXTJOIN(CHAR(10),TRUE,Table248[[#This Row],[vap_agx]:[vap_tr]])</f>
        <v>../waveforms/gx_cpir_1ptDixon/vap_phase_rf_spoiling_262112.fdl
../waveforms/gx_cpir_1ptDixon/radial3D_1h_fov325_mtx56_intlv5000_kdt18_gmax19_smax141_dur1p4_coca_rew2_1p25_GA5_phi.fdl
../waveforms/gx_cpir_1ptDixon/radial3D_1h_fov325_mtx56_intlv5000_kdt18_gmax19_smax141_dur1p4_coca_rew2_1p25_GA5_theta.fdl</v>
      </c>
    </row>
    <row r="43" spans="1:11" x14ac:dyDescent="0.25">
      <c r="A43" s="22">
        <v>42</v>
      </c>
      <c r="G43" s="23" t="s">
        <v>214</v>
      </c>
      <c r="K43" s="24" t="str">
        <f>_xlfn.TEXTJOIN(CHAR(10),TRUE,Table248[[#This Row],[vap_agx]:[vap_tr]])</f>
        <v>../waveforms/vent_cpir_floret/vap_phase_rf_spoiling_262112.fdl</v>
      </c>
    </row>
    <row r="44" spans="1:11" x14ac:dyDescent="0.25">
      <c r="A44" s="22">
        <v>43</v>
      </c>
      <c r="G44" s="23" t="s">
        <v>214</v>
      </c>
      <c r="K44" s="24" t="str">
        <f>_xlfn.TEXTJOIN(CHAR(10),TRUE,Table248[[#This Row],[vap_agx]:[vap_tr]])</f>
        <v>../waveforms/vent_cpir_floret/vap_phase_rf_spoiling_262112.fdl</v>
      </c>
    </row>
    <row r="45" spans="1:11" x14ac:dyDescent="0.25">
      <c r="A45" s="22">
        <v>44</v>
      </c>
      <c r="K45" s="24" t="str">
        <f>_xlfn.TEXTJOIN(CHAR(10),TRUE,Table248[[#This Row],[vap_agx]:[vap_tr]])</f>
        <v/>
      </c>
    </row>
    <row r="46" spans="1:11" x14ac:dyDescent="0.25">
      <c r="A46" s="22">
        <v>45</v>
      </c>
      <c r="K46" s="24" t="str">
        <f>_xlfn.TEXTJOIN(CHAR(10),TRUE,Table248[[#This Row],[vap_agx]:[vap_tr]])</f>
        <v/>
      </c>
    </row>
    <row r="47" spans="1:11" x14ac:dyDescent="0.25">
      <c r="A47" s="22">
        <v>46</v>
      </c>
      <c r="K47" s="24" t="str">
        <f>_xlfn.TEXTJOIN(CHAR(10),TRUE,Table248[[#This Row],[vap_agx]:[vap_tr]])</f>
        <v/>
      </c>
    </row>
    <row r="48" spans="1:11" x14ac:dyDescent="0.25">
      <c r="A48" s="22">
        <v>47</v>
      </c>
      <c r="K48" s="24" t="str">
        <f>_xlfn.TEXTJOIN(CHAR(10),TRUE,Table248[[#This Row],[vap_agx]:[vap_tr]])</f>
        <v/>
      </c>
    </row>
    <row r="49" spans="1:11" x14ac:dyDescent="0.25">
      <c r="A49" s="22">
        <v>48</v>
      </c>
      <c r="K49" s="24" t="str">
        <f>_xlfn.TEXTJOIN(CHAR(10),TRUE,Table248[[#This Row],[vap_agx]:[vap_tr]])</f>
        <v/>
      </c>
    </row>
    <row r="50" spans="1:11" x14ac:dyDescent="0.25">
      <c r="A50" s="22">
        <v>49</v>
      </c>
      <c r="K50" s="24" t="str">
        <f>_xlfn.TEXTJOIN(CHAR(10),TRUE,Table248[[#This Row],[vap_agx]:[vap_tr]])</f>
        <v/>
      </c>
    </row>
    <row r="51" spans="1:11" x14ac:dyDescent="0.25">
      <c r="A51" s="22">
        <v>50</v>
      </c>
      <c r="K51" s="24" t="str">
        <f>_xlfn.TEXTJOIN(CHAR(10),TRUE,Table248[[#This Row],[vap_agx]:[vap_tr]])</f>
        <v/>
      </c>
    </row>
    <row r="52" spans="1:11" x14ac:dyDescent="0.25">
      <c r="A52" s="22">
        <v>51</v>
      </c>
      <c r="K52" s="24" t="str">
        <f>_xlfn.TEXTJOIN(CHAR(10),TRUE,Table248[[#This Row],[vap_agx]:[vap_tr]])</f>
        <v/>
      </c>
    </row>
    <row r="53" spans="1:11" ht="25.5" x14ac:dyDescent="0.25">
      <c r="A53" s="22">
        <v>52</v>
      </c>
      <c r="F53" s="23" t="s">
        <v>90</v>
      </c>
      <c r="G53" s="23" t="s">
        <v>294</v>
      </c>
      <c r="K53" s="24" t="str">
        <f>_xlfn.TEXTJOIN(CHAR(10),TRUE,Table248[[#This Row],[vap_agx]:[vap_tr]])</f>
        <v>../waveforms/cal/cal_xectc_nexc520_ndiss500_dfreq218_freq.fdl
../waveforms/cal/vap_phase_rf_spoiling_262112.fdl</v>
      </c>
    </row>
    <row r="54" spans="1:11" ht="63.75" x14ac:dyDescent="0.25">
      <c r="A54" s="22">
        <v>53</v>
      </c>
      <c r="E54" s="23" t="s">
        <v>295</v>
      </c>
      <c r="F54" s="23" t="s">
        <v>296</v>
      </c>
      <c r="G54" s="23" t="s">
        <v>297</v>
      </c>
      <c r="K54" s="24" t="str">
        <f>_xlfn.TEXTJOIN(CHAR(10),TRUE,Table248[[#This Row],[vap_agx]:[vap_tr]])</f>
        <v>../waveforms/Xenon_3D_Radial_Dixon/interleaved_radial3D_129xe_fov400_mtx64_intlv2402_kdt10_gmax31_smax106_dur1p2_coca_rew2_1p25_HAL_flip.fdl
../waveforms/Xenon_3D_Radial_Dixon/interleaved_radial3D_129xe_fov400_mtx64_intlv2402_kdt10_gmax31_smax106_dur1p2_coca_rew2_1p25_HAL_freq.fdl
../waveforms/Xenon_3D_Radial_Dixon/vap_phase_rf_spoiling_262112.fdl</v>
      </c>
    </row>
    <row r="55" spans="1:11" x14ac:dyDescent="0.25">
      <c r="A55" s="22">
        <v>54</v>
      </c>
      <c r="K55" s="24" t="str">
        <f>_xlfn.TEXTJOIN(CHAR(10),TRUE,Table248[[#This Row],[vap_agx]:[vap_tr]])</f>
        <v/>
      </c>
    </row>
    <row r="56" spans="1:11" ht="25.5" x14ac:dyDescent="0.25">
      <c r="A56" s="22">
        <v>55</v>
      </c>
      <c r="E56" s="23" t="s">
        <v>298</v>
      </c>
      <c r="G56" s="23" t="s">
        <v>107</v>
      </c>
      <c r="K56" s="24" t="str">
        <f>_xlfn.TEXTJOIN(CHAR(10),TRUE,Table248[[#This Row],[vap_agx]:[vap_tr]])</f>
        <v>../waveforms/gx_cpir_MRSI/vap_flip_gx_16p293deg_tr10_10sat.fdl
../waveforms/gx_cpir_MRSI/vap_phase_rf_spoiling_262112.fdl</v>
      </c>
    </row>
    <row r="57" spans="1:11" ht="25.5" x14ac:dyDescent="0.25">
      <c r="A57" s="22">
        <v>56</v>
      </c>
      <c r="E57" s="23" t="s">
        <v>298</v>
      </c>
      <c r="G57" s="23" t="s">
        <v>107</v>
      </c>
      <c r="K57" s="24" t="str">
        <f>_xlfn.TEXTJOIN(CHAR(10),TRUE,Table248[[#This Row],[vap_agx]:[vap_tr]])</f>
        <v>../waveforms/gx_cpir_MRSI/vap_flip_gx_16p293deg_tr10_10sat.fdl
../waveforms/gx_cpir_MRSI/vap_phase_rf_spoiling_262112.fdl</v>
      </c>
    </row>
    <row r="58" spans="1:11" ht="25.5" x14ac:dyDescent="0.25">
      <c r="A58" s="22">
        <v>57</v>
      </c>
      <c r="E58" s="23" t="s">
        <v>298</v>
      </c>
      <c r="G58" s="23" t="s">
        <v>107</v>
      </c>
      <c r="K58" s="24" t="str">
        <f>_xlfn.TEXTJOIN(CHAR(10),TRUE,Table248[[#This Row],[vap_agx]:[vap_tr]])</f>
        <v>../waveforms/gx_cpir_MRSI/vap_flip_gx_16p293deg_tr10_10sat.fdl
../waveforms/gx_cpir_MRSI/vap_phase_rf_spoiling_262112.fdl</v>
      </c>
    </row>
    <row r="59" spans="1:11" ht="25.5" x14ac:dyDescent="0.25">
      <c r="A59" s="22">
        <v>58</v>
      </c>
      <c r="E59" s="23" t="s">
        <v>298</v>
      </c>
      <c r="G59" s="23" t="s">
        <v>107</v>
      </c>
      <c r="K59" s="24" t="str">
        <f>_xlfn.TEXTJOIN(CHAR(10),TRUE,Table248[[#This Row],[vap_agx]:[vap_tr]])</f>
        <v>../waveforms/gx_cpir_MRSI/vap_flip_gx_16p293deg_tr10_10sat.fdl
../waveforms/gx_cpir_MRSI/vap_phase_rf_spoiling_262112.fdl</v>
      </c>
    </row>
    <row r="60" spans="1:11" x14ac:dyDescent="0.25">
      <c r="A60" s="22">
        <v>59</v>
      </c>
      <c r="K60" s="24" t="str">
        <f>_xlfn.TEXTJOIN(CHAR(10),TRUE,Table248[[#This Row],[vap_agx]:[vap_tr]])</f>
        <v/>
      </c>
    </row>
    <row r="61" spans="1:11" x14ac:dyDescent="0.25">
      <c r="A61" s="22">
        <v>60</v>
      </c>
      <c r="K61" s="24" t="str">
        <f>_xlfn.TEXTJOIN(CHAR(10),TRUE,Table248[[#This Row],[vap_agx]:[vap_tr]])</f>
        <v/>
      </c>
    </row>
    <row r="62" spans="1:11" x14ac:dyDescent="0.25">
      <c r="A62" s="22">
        <v>61</v>
      </c>
      <c r="K62" s="24" t="str">
        <f>_xlfn.TEXTJOIN(CHAR(10),TRUE,Table248[[#This Row],[vap_agx]:[vap_tr]])</f>
        <v/>
      </c>
    </row>
    <row r="63" spans="1:11" x14ac:dyDescent="0.25">
      <c r="A63" s="22">
        <v>62</v>
      </c>
      <c r="K63" s="24" t="str">
        <f>_xlfn.TEXTJOIN(CHAR(10),TRUE,Table248[[#This Row],[vap_agx]:[vap_tr]])</f>
        <v/>
      </c>
    </row>
    <row r="64" spans="1:11" x14ac:dyDescent="0.25">
      <c r="A64" s="22">
        <v>63</v>
      </c>
      <c r="K64" s="24" t="str">
        <f>_xlfn.TEXTJOIN(CHAR(10),TRUE,Table248[[#This Row],[vap_agx]:[vap_tr]])</f>
        <v/>
      </c>
    </row>
    <row r="65" spans="1:11" x14ac:dyDescent="0.25">
      <c r="A65" s="22">
        <v>64</v>
      </c>
      <c r="K65" s="24" t="str">
        <f>_xlfn.TEXTJOIN(CHAR(10),TRUE,Table248[[#This Row],[vap_agx]:[vap_tr]])</f>
        <v/>
      </c>
    </row>
    <row r="66" spans="1:11" x14ac:dyDescent="0.25">
      <c r="A66" s="22">
        <v>65</v>
      </c>
      <c r="K66" s="24" t="str">
        <f>_xlfn.TEXTJOIN(CHAR(10),TRUE,Table248[[#This Row],[vap_agx]:[vap_tr]])</f>
        <v/>
      </c>
    </row>
    <row r="67" spans="1:11" ht="38.25" x14ac:dyDescent="0.25">
      <c r="A67" s="22">
        <v>66</v>
      </c>
      <c r="E67" s="23" t="s">
        <v>111</v>
      </c>
      <c r="F67" s="23" t="s">
        <v>112</v>
      </c>
      <c r="G67" s="23" t="s">
        <v>110</v>
      </c>
      <c r="K67" s="24" t="str">
        <f>_xlfn.TEXTJOIN(CHAR(10),TRUE,Table248[[#This Row],[vap_agx]:[vap_tr]])</f>
        <v>../waveforms/gx_XeCTC_1ptDixon/interleaved_radial3D_129xe_fov400_mtx64_intlv2002_kdt10_gmax31_smax106_dur1p2_coca_rew2_1p25_HAL_flip.fdl
../waveforms/gx_XeCTC_1ptDixon/interleaved_radial3D_129xe_fov400_mtx64_intlv2002_kdt10_gmax31_smax106_dur1p2_coca_rew2_1p25_HAL_freq.fdl
../waveforms/gx_XeCTC_1ptDixon/vap_phase_rf_spoiling_262112.fdl</v>
      </c>
    </row>
    <row r="68" spans="1:11" ht="38.25" x14ac:dyDescent="0.25">
      <c r="A68" s="22">
        <v>67</v>
      </c>
      <c r="G68" s="23" t="s">
        <v>110</v>
      </c>
      <c r="H68" s="23" t="s">
        <v>114</v>
      </c>
      <c r="I68" s="23" t="s">
        <v>115</v>
      </c>
      <c r="K68" s="24" t="str">
        <f>_xlfn.TEXTJOIN(CHAR(10),TRUE,Table248[[#This Row],[vap_agx]:[vap_tr]])</f>
        <v>../waveforms/gx_XeCTC_1ptDixon/vap_phase_rf_spoiling_262112.fdl
../waveforms/gx_XeCTC_1ptDixon/radial3D_1h_fov400_mtx64_intlv4600_kdt18_gmax6_smax17_dur2_coca_rew2_1p25_HAL_phi.fdl
../waveforms/gx_XeCTC_1ptDixon/radial3D_1h_fov400_mtx64_intlv4600_kdt18_gmax6_smax17_dur2_coca_rew2_1p25_HAL_theta.fdl</v>
      </c>
    </row>
    <row r="69" spans="1:11" x14ac:dyDescent="0.25">
      <c r="A69" s="22">
        <v>68</v>
      </c>
      <c r="E69" s="23" t="s">
        <v>117</v>
      </c>
      <c r="K69" s="24" t="str">
        <f>_xlfn.TEXTJOIN(CHAR(10),TRUE,Table248[[#This Row],[vap_agx]:[vap_tr]])</f>
        <v>../waveforms/qa_cpir_nutation/qa_cpir_nutation_nexc18_start10_end180_flip.fdl</v>
      </c>
    </row>
    <row r="70" spans="1:11" x14ac:dyDescent="0.25">
      <c r="A70" s="22">
        <v>69</v>
      </c>
      <c r="K70" s="24" t="str">
        <f>_xlfn.TEXTJOIN(CHAR(10),TRUE,Table248[[#This Row],[vap_agx]:[vap_tr]])</f>
        <v/>
      </c>
    </row>
    <row r="71" spans="1:11" x14ac:dyDescent="0.25">
      <c r="A71" s="22">
        <v>70</v>
      </c>
      <c r="G71" s="23" t="s">
        <v>277</v>
      </c>
      <c r="K71" s="24" t="str">
        <f>_xlfn.TEXTJOIN(CHAR(10),TRUE,Table248[[#This Row],[vap_agx]:[vap_tr]])</f>
        <v>../waveforms/vent_cpir_2dSpiralVD/vap_phase_rf_spoiling_262112.fdl</v>
      </c>
    </row>
    <row r="72" spans="1:11" x14ac:dyDescent="0.25">
      <c r="A72" s="22">
        <v>71</v>
      </c>
      <c r="G72" s="23" t="s">
        <v>277</v>
      </c>
      <c r="K72" s="24" t="str">
        <f>_xlfn.TEXTJOIN(CHAR(10),TRUE,Table248[[#This Row],[vap_agx]:[vap_tr]])</f>
        <v>../waveforms/vent_cpir_2dSpiralVD/vap_phase_rf_spoiling_262112.fdl</v>
      </c>
    </row>
    <row r="73" spans="1:11" x14ac:dyDescent="0.25">
      <c r="A73" s="22">
        <v>72</v>
      </c>
      <c r="G73" s="23" t="s">
        <v>277</v>
      </c>
      <c r="K73" s="24" t="str">
        <f>_xlfn.TEXTJOIN(CHAR(10),TRUE,Table248[[#This Row],[vap_agx]:[vap_tr]])</f>
        <v>../waveforms/vent_cpir_2dSpiralVD/vap_phase_rf_spoiling_262112.fdl</v>
      </c>
    </row>
    <row r="74" spans="1:11" x14ac:dyDescent="0.25">
      <c r="A74" s="22">
        <v>73</v>
      </c>
      <c r="G74" s="23" t="s">
        <v>277</v>
      </c>
      <c r="K74" s="24" t="str">
        <f>_xlfn.TEXTJOIN(CHAR(10),TRUE,Table248[[#This Row],[vap_agx]:[vap_tr]])</f>
        <v>../waveforms/vent_cpir_2dSpiralVD/vap_phase_rf_spoiling_262112.fdl</v>
      </c>
    </row>
    <row r="75" spans="1:11" x14ac:dyDescent="0.25">
      <c r="A75" s="22">
        <v>74</v>
      </c>
      <c r="G75" s="23" t="s">
        <v>277</v>
      </c>
      <c r="K75" s="24" t="str">
        <f>_xlfn.TEXTJOIN(CHAR(10),TRUE,Table248[[#This Row],[vap_agx]:[vap_tr]])</f>
        <v>../waveforms/vent_cpir_2dSpiralVD/vap_phase_rf_spoiling_262112.fdl</v>
      </c>
    </row>
    <row r="76" spans="1:11" x14ac:dyDescent="0.25">
      <c r="A76" s="22">
        <v>75</v>
      </c>
      <c r="G76" s="23" t="s">
        <v>277</v>
      </c>
      <c r="K76" s="24" t="str">
        <f>_xlfn.TEXTJOIN(CHAR(10),TRUE,Table248[[#This Row],[vap_agx]:[vap_tr]])</f>
        <v>../waveforms/vent_cpir_2dSpiralVD/vap_phase_rf_spoiling_262112.fdl</v>
      </c>
    </row>
    <row r="77" spans="1:11" x14ac:dyDescent="0.25">
      <c r="A77" s="22">
        <v>76</v>
      </c>
      <c r="G77" s="23" t="s">
        <v>277</v>
      </c>
      <c r="K77" s="24" t="str">
        <f>_xlfn.TEXTJOIN(CHAR(10),TRUE,Table248[[#This Row],[vap_agx]:[vap_tr]])</f>
        <v>../waveforms/vent_cpir_2dSpiralVD/vap_phase_rf_spoiling_262112.fdl</v>
      </c>
    </row>
    <row r="78" spans="1:11" x14ac:dyDescent="0.25">
      <c r="A78" s="22">
        <v>77</v>
      </c>
      <c r="G78" s="23" t="s">
        <v>277</v>
      </c>
      <c r="K78" s="24" t="str">
        <f>_xlfn.TEXTJOIN(CHAR(10),TRUE,Table248[[#This Row],[vap_agx]:[vap_tr]])</f>
        <v>../waveforms/vent_cpir_2dSpiralVD/vap_phase_rf_spoiling_262112.fdl</v>
      </c>
    </row>
    <row r="79" spans="1:11" x14ac:dyDescent="0.25">
      <c r="A79" s="22">
        <v>78</v>
      </c>
      <c r="G79" s="23" t="s">
        <v>277</v>
      </c>
      <c r="K79" s="24" t="str">
        <f>_xlfn.TEXTJOIN(CHAR(10),TRUE,Table248[[#This Row],[vap_agx]:[vap_tr]])</f>
        <v>../waveforms/vent_cpir_2dSpiralVD/vap_phase_rf_spoiling_262112.fdl</v>
      </c>
    </row>
    <row r="80" spans="1:11" x14ac:dyDescent="0.25">
      <c r="A80" s="22">
        <v>79</v>
      </c>
      <c r="G80" s="23" t="s">
        <v>277</v>
      </c>
      <c r="K80" s="24" t="str">
        <f>_xlfn.TEXTJOIN(CHAR(10),TRUE,Table248[[#This Row],[vap_agx]:[vap_tr]])</f>
        <v>../waveforms/vent_cpir_2dSpiralVD/vap_phase_rf_spoiling_262112.fdl</v>
      </c>
    </row>
    <row r="81" spans="1:11" x14ac:dyDescent="0.25">
      <c r="A81" s="22">
        <v>80</v>
      </c>
      <c r="K81" s="24" t="str">
        <f>_xlfn.TEXTJOIN(CHAR(10),TRUE,Table248[[#This Row],[vap_agx]:[vap_tr]])</f>
        <v/>
      </c>
    </row>
    <row r="82" spans="1:11" x14ac:dyDescent="0.25">
      <c r="A82" s="22">
        <v>81</v>
      </c>
      <c r="K82" s="24" t="str">
        <f>_xlfn.TEXTJOIN(CHAR(10),TRUE,Table248[[#This Row],[vap_agx]:[vap_tr]])</f>
        <v/>
      </c>
    </row>
    <row r="83" spans="1:11" x14ac:dyDescent="0.25">
      <c r="A83" s="22">
        <v>82</v>
      </c>
      <c r="K83" s="24" t="str">
        <f>_xlfn.TEXTJOIN(CHAR(10),TRUE,Table248[[#This Row],[vap_agx]:[vap_tr]])</f>
        <v/>
      </c>
    </row>
    <row r="84" spans="1:11" x14ac:dyDescent="0.25">
      <c r="A84" s="22">
        <v>83</v>
      </c>
      <c r="K84" s="24" t="str">
        <f>_xlfn.TEXTJOIN(CHAR(10),TRUE,Table248[[#This Row],[vap_agx]:[vap_tr]])</f>
        <v/>
      </c>
    </row>
    <row r="85" spans="1:11" x14ac:dyDescent="0.25">
      <c r="A85" s="22">
        <v>84</v>
      </c>
      <c r="K85" s="24" t="str">
        <f>_xlfn.TEXTJOIN(CHAR(10),TRUE,Table248[[#This Row],[vap_agx]:[vap_tr]])</f>
        <v/>
      </c>
    </row>
    <row r="86" spans="1:11" x14ac:dyDescent="0.25">
      <c r="A86" s="22">
        <v>85</v>
      </c>
      <c r="K86" s="24" t="str">
        <f>_xlfn.TEXTJOIN(CHAR(10),TRUE,Table248[[#This Row],[vap_agx]:[vap_tr]])</f>
        <v/>
      </c>
    </row>
    <row r="87" spans="1:11" x14ac:dyDescent="0.25">
      <c r="A87" s="22">
        <v>86</v>
      </c>
      <c r="K87" s="24" t="str">
        <f>_xlfn.TEXTJOIN(CHAR(10),TRUE,Table248[[#This Row],[vap_agx]:[vap_tr]])</f>
        <v/>
      </c>
    </row>
    <row r="88" spans="1:11" x14ac:dyDescent="0.25">
      <c r="A88" s="22">
        <v>87</v>
      </c>
      <c r="K88" s="24" t="str">
        <f>_xlfn.TEXTJOIN(CHAR(10),TRUE,Table248[[#This Row],[vap_agx]:[vap_tr]])</f>
        <v/>
      </c>
    </row>
    <row r="89" spans="1:11" x14ac:dyDescent="0.25">
      <c r="A89" s="22">
        <v>88</v>
      </c>
      <c r="K89" s="24" t="str">
        <f>_xlfn.TEXTJOIN(CHAR(10),TRUE,Table248[[#This Row],[vap_agx]:[vap_tr]])</f>
        <v/>
      </c>
    </row>
    <row r="90" spans="1:11" x14ac:dyDescent="0.25">
      <c r="A90" s="22">
        <v>89</v>
      </c>
      <c r="K90" s="24" t="str">
        <f>_xlfn.TEXTJOIN(CHAR(10),TRUE,Table248[[#This Row],[vap_agx]:[vap_tr]])</f>
        <v/>
      </c>
    </row>
    <row r="91" spans="1:11" x14ac:dyDescent="0.25">
      <c r="A91" s="22">
        <v>90</v>
      </c>
      <c r="K91" s="24" t="str">
        <f>_xlfn.TEXTJOIN(CHAR(10),TRUE,Table248[[#This Row],[vap_agx]:[vap_tr]])</f>
        <v/>
      </c>
    </row>
    <row r="92" spans="1:11" x14ac:dyDescent="0.25">
      <c r="A92" s="22">
        <v>91</v>
      </c>
      <c r="K92" s="24" t="str">
        <f>_xlfn.TEXTJOIN(CHAR(10),TRUE,Table248[[#This Row],[vap_agx]:[vap_tr]])</f>
        <v/>
      </c>
    </row>
    <row r="93" spans="1:11" x14ac:dyDescent="0.25">
      <c r="A93" s="22">
        <v>92</v>
      </c>
      <c r="K93" s="24" t="str">
        <f>_xlfn.TEXTJOIN(CHAR(10),TRUE,Table248[[#This Row],[vap_agx]:[vap_tr]])</f>
        <v/>
      </c>
    </row>
    <row r="94" spans="1:11" x14ac:dyDescent="0.25">
      <c r="A94" s="22">
        <v>93</v>
      </c>
      <c r="K94" s="24" t="str">
        <f>_xlfn.TEXTJOIN(CHAR(10),TRUE,Table248[[#This Row],[vap_agx]:[vap_tr]])</f>
        <v/>
      </c>
    </row>
    <row r="95" spans="1:11" x14ac:dyDescent="0.25">
      <c r="A95" s="22">
        <v>94</v>
      </c>
      <c r="K95" s="24" t="str">
        <f>_xlfn.TEXTJOIN(CHAR(10),TRUE,Table248[[#This Row],[vap_agx]:[vap_tr]])</f>
        <v/>
      </c>
    </row>
    <row r="96" spans="1:11" x14ac:dyDescent="0.25">
      <c r="A96" s="22">
        <v>95</v>
      </c>
      <c r="K96" s="24" t="str">
        <f>_xlfn.TEXTJOIN(CHAR(10),TRUE,Table248[[#This Row],[vap_agx]:[vap_tr]])</f>
        <v/>
      </c>
    </row>
    <row r="97" spans="1:11" x14ac:dyDescent="0.25">
      <c r="A97" s="22">
        <v>96</v>
      </c>
      <c r="K97" s="24" t="str">
        <f>_xlfn.TEXTJOIN(CHAR(10),TRUE,Table248[[#This Row],[vap_agx]:[vap_tr]])</f>
        <v/>
      </c>
    </row>
    <row r="98" spans="1:11" x14ac:dyDescent="0.25">
      <c r="A98" s="22">
        <v>97</v>
      </c>
      <c r="K98" s="24" t="str">
        <f>_xlfn.TEXTJOIN(CHAR(10),TRUE,Table248[[#This Row],[vap_agx]:[vap_tr]])</f>
        <v/>
      </c>
    </row>
    <row r="99" spans="1:11" x14ac:dyDescent="0.25">
      <c r="A99" s="22">
        <v>98</v>
      </c>
      <c r="K99" s="24" t="str">
        <f>_xlfn.TEXTJOIN(CHAR(10),TRUE,Table248[[#This Row],[vap_agx]:[vap_tr]])</f>
        <v/>
      </c>
    </row>
    <row r="100" spans="1:11" x14ac:dyDescent="0.25">
      <c r="A100" s="22">
        <v>99</v>
      </c>
      <c r="K100" s="24" t="str">
        <f>_xlfn.TEXTJOIN(CHAR(10),TRUE,Table248[[#This Row],[vap_agx]:[vap_tr]])</f>
        <v/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C094-9151-4A97-902E-2043ADC1F3CE}">
  <dimension ref="A1:B100"/>
  <sheetViews>
    <sheetView workbookViewId="0">
      <selection activeCell="B66" sqref="B66"/>
    </sheetView>
  </sheetViews>
  <sheetFormatPr defaultColWidth="9.140625" defaultRowHeight="12.75" x14ac:dyDescent="0.2"/>
  <cols>
    <col min="1" max="1" width="8.28515625" style="20" bestFit="1" customWidth="1"/>
    <col min="2" max="2" width="58.42578125" style="20" bestFit="1" customWidth="1"/>
    <col min="3" max="16384" width="9.140625" style="20"/>
  </cols>
  <sheetData>
    <row r="1" spans="1:2" x14ac:dyDescent="0.2">
      <c r="A1" s="20" t="s">
        <v>229</v>
      </c>
      <c r="B1" s="20" t="s">
        <v>249</v>
      </c>
    </row>
    <row r="2" spans="1:2" x14ac:dyDescent="0.2">
      <c r="A2" s="20">
        <v>1</v>
      </c>
      <c r="B2" s="20" t="s">
        <v>250</v>
      </c>
    </row>
    <row r="3" spans="1:2" x14ac:dyDescent="0.2">
      <c r="A3" s="20">
        <v>2</v>
      </c>
      <c r="B3" s="20" t="s">
        <v>11</v>
      </c>
    </row>
    <row r="4" spans="1:2" x14ac:dyDescent="0.2">
      <c r="A4" s="20">
        <v>3</v>
      </c>
    </row>
    <row r="5" spans="1:2" x14ac:dyDescent="0.2">
      <c r="A5" s="20">
        <v>4</v>
      </c>
      <c r="B5" s="20" t="s">
        <v>15</v>
      </c>
    </row>
    <row r="6" spans="1:2" x14ac:dyDescent="0.2">
      <c r="A6" s="20">
        <v>5</v>
      </c>
    </row>
    <row r="7" spans="1:2" x14ac:dyDescent="0.2">
      <c r="A7" s="20">
        <v>6</v>
      </c>
    </row>
    <row r="8" spans="1:2" x14ac:dyDescent="0.2">
      <c r="A8" s="20">
        <v>7</v>
      </c>
    </row>
    <row r="9" spans="1:2" x14ac:dyDescent="0.2">
      <c r="A9" s="20">
        <v>8</v>
      </c>
    </row>
    <row r="10" spans="1:2" x14ac:dyDescent="0.2">
      <c r="A10" s="20">
        <v>9</v>
      </c>
    </row>
    <row r="11" spans="1:2" x14ac:dyDescent="0.2">
      <c r="A11" s="20">
        <v>10</v>
      </c>
      <c r="B11" s="20" t="s">
        <v>25</v>
      </c>
    </row>
    <row r="12" spans="1:2" x14ac:dyDescent="0.2">
      <c r="A12" s="20">
        <v>11</v>
      </c>
      <c r="B12" s="20" t="s">
        <v>29</v>
      </c>
    </row>
    <row r="13" spans="1:2" x14ac:dyDescent="0.2">
      <c r="A13" s="20">
        <v>12</v>
      </c>
      <c r="B13" s="20" t="s">
        <v>186</v>
      </c>
    </row>
    <row r="14" spans="1:2" x14ac:dyDescent="0.2">
      <c r="A14" s="20">
        <v>13</v>
      </c>
    </row>
    <row r="15" spans="1:2" x14ac:dyDescent="0.2">
      <c r="A15" s="20">
        <v>14</v>
      </c>
    </row>
    <row r="16" spans="1:2" x14ac:dyDescent="0.2">
      <c r="A16" s="20">
        <v>15</v>
      </c>
      <c r="B16" s="20" t="s">
        <v>38</v>
      </c>
    </row>
    <row r="17" spans="1:2" x14ac:dyDescent="0.2">
      <c r="A17" s="20">
        <v>16</v>
      </c>
      <c r="B17" s="20" t="s">
        <v>42</v>
      </c>
    </row>
    <row r="18" spans="1:2" x14ac:dyDescent="0.2">
      <c r="A18" s="20">
        <v>17</v>
      </c>
      <c r="B18" s="20" t="s">
        <v>46</v>
      </c>
    </row>
    <row r="19" spans="1:2" x14ac:dyDescent="0.2">
      <c r="A19" s="20">
        <v>18</v>
      </c>
      <c r="B19" s="20" t="s">
        <v>54</v>
      </c>
    </row>
    <row r="20" spans="1:2" x14ac:dyDescent="0.2">
      <c r="A20" s="20">
        <v>19</v>
      </c>
      <c r="B20" s="20" t="s">
        <v>59</v>
      </c>
    </row>
    <row r="21" spans="1:2" x14ac:dyDescent="0.2">
      <c r="A21" s="20">
        <v>20</v>
      </c>
      <c r="B21" s="20" t="s">
        <v>251</v>
      </c>
    </row>
    <row r="22" spans="1:2" x14ac:dyDescent="0.2">
      <c r="A22" s="20">
        <v>21</v>
      </c>
      <c r="B22" s="20" t="s">
        <v>252</v>
      </c>
    </row>
    <row r="23" spans="1:2" x14ac:dyDescent="0.2">
      <c r="A23" s="20">
        <v>22</v>
      </c>
    </row>
    <row r="24" spans="1:2" x14ac:dyDescent="0.2">
      <c r="A24" s="20">
        <v>23</v>
      </c>
    </row>
    <row r="25" spans="1:2" x14ac:dyDescent="0.2">
      <c r="A25" s="20">
        <v>24</v>
      </c>
    </row>
    <row r="26" spans="1:2" x14ac:dyDescent="0.2">
      <c r="A26" s="20">
        <v>25</v>
      </c>
      <c r="B26" s="20" t="s">
        <v>70</v>
      </c>
    </row>
    <row r="27" spans="1:2" x14ac:dyDescent="0.2">
      <c r="A27" s="20">
        <v>26</v>
      </c>
      <c r="B27" s="20" t="s">
        <v>74</v>
      </c>
    </row>
    <row r="28" spans="1:2" x14ac:dyDescent="0.2">
      <c r="A28" s="20">
        <v>27</v>
      </c>
      <c r="B28" s="20" t="s">
        <v>77</v>
      </c>
    </row>
    <row r="29" spans="1:2" x14ac:dyDescent="0.2">
      <c r="A29" s="20">
        <v>28</v>
      </c>
    </row>
    <row r="30" spans="1:2" x14ac:dyDescent="0.2">
      <c r="A30" s="20">
        <v>29</v>
      </c>
      <c r="B30" s="20" t="s">
        <v>82</v>
      </c>
    </row>
    <row r="31" spans="1:2" x14ac:dyDescent="0.2">
      <c r="A31" s="20">
        <v>30</v>
      </c>
      <c r="B31" s="20" t="s">
        <v>87</v>
      </c>
    </row>
    <row r="32" spans="1:2" x14ac:dyDescent="0.2">
      <c r="A32" s="20">
        <v>31</v>
      </c>
      <c r="B32" s="20" t="s">
        <v>87</v>
      </c>
    </row>
    <row r="33" spans="1:2" x14ac:dyDescent="0.2">
      <c r="A33" s="20">
        <v>32</v>
      </c>
    </row>
    <row r="34" spans="1:2" x14ac:dyDescent="0.2">
      <c r="A34" s="20">
        <v>33</v>
      </c>
    </row>
    <row r="35" spans="1:2" x14ac:dyDescent="0.2">
      <c r="A35" s="20">
        <v>34</v>
      </c>
    </row>
    <row r="36" spans="1:2" x14ac:dyDescent="0.2">
      <c r="A36" s="20">
        <v>35</v>
      </c>
      <c r="B36" s="20" t="s">
        <v>91</v>
      </c>
    </row>
    <row r="37" spans="1:2" x14ac:dyDescent="0.2">
      <c r="A37" s="20">
        <v>36</v>
      </c>
      <c r="B37" s="20" t="s">
        <v>91</v>
      </c>
    </row>
    <row r="38" spans="1:2" x14ac:dyDescent="0.2">
      <c r="A38" s="20">
        <v>37</v>
      </c>
      <c r="B38" s="20" t="s">
        <v>91</v>
      </c>
    </row>
    <row r="39" spans="1:2" x14ac:dyDescent="0.2">
      <c r="A39" s="20">
        <v>38</v>
      </c>
      <c r="B39" s="20" t="s">
        <v>91</v>
      </c>
    </row>
    <row r="40" spans="1:2" x14ac:dyDescent="0.2">
      <c r="A40" s="20">
        <v>39</v>
      </c>
      <c r="B40" s="20" t="s">
        <v>91</v>
      </c>
    </row>
    <row r="41" spans="1:2" x14ac:dyDescent="0.2">
      <c r="A41" s="20">
        <v>40</v>
      </c>
      <c r="B41" s="20" t="s">
        <v>97</v>
      </c>
    </row>
    <row r="42" spans="1:2" x14ac:dyDescent="0.2">
      <c r="A42" s="20">
        <v>41</v>
      </c>
      <c r="B42" s="20" t="s">
        <v>253</v>
      </c>
    </row>
    <row r="43" spans="1:2" x14ac:dyDescent="0.2">
      <c r="A43" s="20">
        <v>42</v>
      </c>
      <c r="B43" s="20" t="s">
        <v>213</v>
      </c>
    </row>
    <row r="44" spans="1:2" x14ac:dyDescent="0.2">
      <c r="A44" s="20">
        <v>43</v>
      </c>
      <c r="B44" s="20" t="s">
        <v>213</v>
      </c>
    </row>
    <row r="45" spans="1:2" x14ac:dyDescent="0.2">
      <c r="A45" s="20">
        <v>44</v>
      </c>
    </row>
    <row r="46" spans="1:2" x14ac:dyDescent="0.2">
      <c r="A46" s="20">
        <v>45</v>
      </c>
    </row>
    <row r="47" spans="1:2" x14ac:dyDescent="0.2">
      <c r="A47" s="20">
        <v>46</v>
      </c>
    </row>
    <row r="48" spans="1:2" x14ac:dyDescent="0.2">
      <c r="A48" s="20">
        <v>47</v>
      </c>
    </row>
    <row r="49" spans="1:2" x14ac:dyDescent="0.2">
      <c r="A49" s="20">
        <v>48</v>
      </c>
    </row>
    <row r="50" spans="1:2" x14ac:dyDescent="0.2">
      <c r="A50" s="20">
        <v>49</v>
      </c>
    </row>
    <row r="51" spans="1:2" x14ac:dyDescent="0.2">
      <c r="A51" s="20">
        <v>50</v>
      </c>
    </row>
    <row r="52" spans="1:2" x14ac:dyDescent="0.2">
      <c r="A52" s="20">
        <v>51</v>
      </c>
    </row>
    <row r="53" spans="1:2" x14ac:dyDescent="0.2">
      <c r="A53" s="20">
        <v>52</v>
      </c>
      <c r="B53" s="20" t="s">
        <v>87</v>
      </c>
    </row>
    <row r="54" spans="1:2" x14ac:dyDescent="0.2">
      <c r="A54" s="20">
        <v>53</v>
      </c>
      <c r="B54" s="20" t="s">
        <v>293</v>
      </c>
    </row>
    <row r="55" spans="1:2" x14ac:dyDescent="0.2">
      <c r="A55" s="20">
        <v>54</v>
      </c>
    </row>
    <row r="56" spans="1:2" x14ac:dyDescent="0.2">
      <c r="A56" s="20">
        <v>55</v>
      </c>
      <c r="B56" s="20" t="s">
        <v>106</v>
      </c>
    </row>
    <row r="57" spans="1:2" x14ac:dyDescent="0.2">
      <c r="A57" s="20">
        <v>56</v>
      </c>
      <c r="B57" s="20" t="s">
        <v>106</v>
      </c>
    </row>
    <row r="58" spans="1:2" x14ac:dyDescent="0.2">
      <c r="A58" s="20">
        <v>57</v>
      </c>
      <c r="B58" s="20" t="s">
        <v>106</v>
      </c>
    </row>
    <row r="59" spans="1:2" x14ac:dyDescent="0.2">
      <c r="A59" s="20">
        <v>58</v>
      </c>
      <c r="B59" s="20" t="s">
        <v>106</v>
      </c>
    </row>
    <row r="60" spans="1:2" x14ac:dyDescent="0.2">
      <c r="A60" s="20">
        <v>59</v>
      </c>
    </row>
    <row r="61" spans="1:2" x14ac:dyDescent="0.2">
      <c r="A61" s="20">
        <v>60</v>
      </c>
    </row>
    <row r="62" spans="1:2" x14ac:dyDescent="0.2">
      <c r="A62" s="20">
        <v>61</v>
      </c>
    </row>
    <row r="63" spans="1:2" x14ac:dyDescent="0.2">
      <c r="A63" s="20">
        <v>62</v>
      </c>
    </row>
    <row r="64" spans="1:2" x14ac:dyDescent="0.2">
      <c r="A64" s="20">
        <v>63</v>
      </c>
    </row>
    <row r="65" spans="1:2" x14ac:dyDescent="0.2">
      <c r="A65" s="20">
        <v>64</v>
      </c>
    </row>
    <row r="66" spans="1:2" x14ac:dyDescent="0.2">
      <c r="A66" s="20">
        <v>65</v>
      </c>
    </row>
    <row r="67" spans="1:2" x14ac:dyDescent="0.2">
      <c r="A67" s="20">
        <v>66</v>
      </c>
      <c r="B67" s="20" t="s">
        <v>108</v>
      </c>
    </row>
    <row r="68" spans="1:2" x14ac:dyDescent="0.2">
      <c r="A68" s="20">
        <v>67</v>
      </c>
      <c r="B68" s="20" t="s">
        <v>254</v>
      </c>
    </row>
    <row r="69" spans="1:2" x14ac:dyDescent="0.2">
      <c r="A69" s="20">
        <v>68</v>
      </c>
      <c r="B69" s="20" t="s">
        <v>116</v>
      </c>
    </row>
    <row r="70" spans="1:2" x14ac:dyDescent="0.2">
      <c r="A70" s="20">
        <v>69</v>
      </c>
    </row>
    <row r="71" spans="1:2" x14ac:dyDescent="0.2">
      <c r="A71" s="20">
        <v>70</v>
      </c>
      <c r="B71" s="20" t="s">
        <v>216</v>
      </c>
    </row>
    <row r="72" spans="1:2" x14ac:dyDescent="0.2">
      <c r="A72" s="20">
        <v>71</v>
      </c>
      <c r="B72" s="20" t="s">
        <v>216</v>
      </c>
    </row>
    <row r="73" spans="1:2" x14ac:dyDescent="0.2">
      <c r="A73" s="20">
        <v>72</v>
      </c>
      <c r="B73" s="20" t="s">
        <v>216</v>
      </c>
    </row>
    <row r="74" spans="1:2" x14ac:dyDescent="0.2">
      <c r="A74" s="20">
        <v>73</v>
      </c>
      <c r="B74" s="20" t="s">
        <v>216</v>
      </c>
    </row>
    <row r="75" spans="1:2" x14ac:dyDescent="0.2">
      <c r="A75" s="20">
        <v>74</v>
      </c>
      <c r="B75" s="20" t="s">
        <v>216</v>
      </c>
    </row>
    <row r="76" spans="1:2" x14ac:dyDescent="0.2">
      <c r="A76" s="20">
        <v>75</v>
      </c>
      <c r="B76" s="20" t="s">
        <v>216</v>
      </c>
    </row>
    <row r="77" spans="1:2" x14ac:dyDescent="0.2">
      <c r="A77" s="20">
        <v>76</v>
      </c>
      <c r="B77" s="20" t="s">
        <v>216</v>
      </c>
    </row>
    <row r="78" spans="1:2" x14ac:dyDescent="0.2">
      <c r="A78" s="20">
        <v>77</v>
      </c>
      <c r="B78" s="20" t="s">
        <v>216</v>
      </c>
    </row>
    <row r="79" spans="1:2" x14ac:dyDescent="0.2">
      <c r="A79" s="20">
        <v>78</v>
      </c>
      <c r="B79" s="20" t="s">
        <v>216</v>
      </c>
    </row>
    <row r="80" spans="1:2" x14ac:dyDescent="0.2">
      <c r="A80" s="20">
        <v>79</v>
      </c>
      <c r="B80" s="20" t="s">
        <v>216</v>
      </c>
    </row>
    <row r="81" spans="1:1" x14ac:dyDescent="0.2">
      <c r="A81" s="20">
        <v>80</v>
      </c>
    </row>
    <row r="82" spans="1:1" x14ac:dyDescent="0.2">
      <c r="A82" s="20">
        <v>81</v>
      </c>
    </row>
    <row r="83" spans="1:1" x14ac:dyDescent="0.2">
      <c r="A83" s="20">
        <v>82</v>
      </c>
    </row>
    <row r="84" spans="1:1" x14ac:dyDescent="0.2">
      <c r="A84" s="20">
        <v>83</v>
      </c>
    </row>
    <row r="85" spans="1:1" x14ac:dyDescent="0.2">
      <c r="A85" s="20">
        <v>84</v>
      </c>
    </row>
    <row r="86" spans="1:1" x14ac:dyDescent="0.2">
      <c r="A86" s="20">
        <v>85</v>
      </c>
    </row>
    <row r="87" spans="1:1" x14ac:dyDescent="0.2">
      <c r="A87" s="20">
        <v>86</v>
      </c>
    </row>
    <row r="88" spans="1:1" x14ac:dyDescent="0.2">
      <c r="A88" s="20">
        <v>87</v>
      </c>
    </row>
    <row r="89" spans="1:1" x14ac:dyDescent="0.2">
      <c r="A89" s="20">
        <v>88</v>
      </c>
    </row>
    <row r="90" spans="1:1" x14ac:dyDescent="0.2">
      <c r="A90" s="20">
        <v>89</v>
      </c>
    </row>
    <row r="91" spans="1:1" x14ac:dyDescent="0.2">
      <c r="A91" s="20">
        <v>90</v>
      </c>
    </row>
    <row r="92" spans="1:1" x14ac:dyDescent="0.2">
      <c r="A92" s="20">
        <v>91</v>
      </c>
    </row>
    <row r="93" spans="1:1" x14ac:dyDescent="0.2">
      <c r="A93" s="20">
        <v>92</v>
      </c>
    </row>
    <row r="94" spans="1:1" x14ac:dyDescent="0.2">
      <c r="A94" s="20">
        <v>93</v>
      </c>
    </row>
    <row r="95" spans="1:1" x14ac:dyDescent="0.2">
      <c r="A95" s="20">
        <v>94</v>
      </c>
    </row>
    <row r="96" spans="1:1" x14ac:dyDescent="0.2">
      <c r="A96" s="20">
        <v>95</v>
      </c>
    </row>
    <row r="97" spans="1:1" x14ac:dyDescent="0.2">
      <c r="A97" s="20">
        <v>96</v>
      </c>
    </row>
    <row r="98" spans="1:1" x14ac:dyDescent="0.2">
      <c r="A98" s="20">
        <v>97</v>
      </c>
    </row>
    <row r="99" spans="1:1" x14ac:dyDescent="0.2">
      <c r="A99" s="20">
        <v>98</v>
      </c>
    </row>
    <row r="100" spans="1:1" x14ac:dyDescent="0.2">
      <c r="A100" s="20">
        <v>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Standard Sequences</vt:lpstr>
      <vt:lpstr>MNSRP Sequences</vt:lpstr>
      <vt:lpstr>ak_grad links</vt:lpstr>
      <vt:lpstr>rf links</vt:lpstr>
      <vt:lpstr>recon links</vt:lpstr>
      <vt:lpstr>vap links</vt:lpstr>
      <vt:lpstr>cv_pars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Willmering, Matthew</cp:lastModifiedBy>
  <dcterms:created xsi:type="dcterms:W3CDTF">2026-02-20T19:55:05Z</dcterms:created>
  <dcterms:modified xsi:type="dcterms:W3CDTF">2026-05-29T02:57:01Z</dcterms:modified>
</cp:coreProperties>
</file>